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richData/rdsupportingpropertybagstructure.xml" ContentType="application/vnd.ms-excel.rdsupportingpropertybagstructure+xml"/>
  <Override PartName="/xl/richData/rdrichvaluestructure.xml" ContentType="application/vnd.ms-excel.rdrichvaluestructure+xml"/>
  <Override PartName="/xl/richData/rdsupportingpropertybag.xml" ContentType="application/vnd.ms-excel.rdsupportingpropertybag+xml"/>
  <Override PartName="/xl/richData/rdarray.xml" ContentType="application/vnd.ms-excel.rdarray+xml"/>
  <Override PartName="/xl/richData/rdrichvalue.xml" ContentType="application/vnd.ms-excel.rdrichvalue+xml"/>
  <Override PartName="/xl/richData/richStyles.xml" ContentType="application/vnd.ms-excel.richstyles+xml"/>
  <Override PartName="/xl/richData/rdRichValueTypes.xml" ContentType="application/vnd.ms-excel.rdrichvaluetyp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mc:AlternateContent xmlns:mc="http://schemas.openxmlformats.org/markup-compatibility/2006">
    <mc:Choice Requires="x15">
      <x15ac:absPath xmlns:x15ac="http://schemas.microsoft.com/office/spreadsheetml/2010/11/ac" url="https://d.docs.live.net/aaf70170d5cadf01/Desktop/"/>
    </mc:Choice>
  </mc:AlternateContent>
  <xr:revisionPtr revIDLastSave="0" documentId="8_{4FF53EC9-A16A-44C7-89E3-933A2F72D25A}" xr6:coauthVersionLast="47" xr6:coauthVersionMax="47" xr10:uidLastSave="{00000000-0000-0000-0000-000000000000}"/>
  <bookViews>
    <workbookView xWindow="-110" yWindow="-110" windowWidth="19420" windowHeight="10420" firstSheet="2" activeTab="5" xr2:uid="{530D37E0-5DB9-4912-88A7-8F95A2F6ED07}"/>
  </bookViews>
  <sheets>
    <sheet name="2 stock" sheetId="2" state="hidden" r:id="rId1"/>
    <sheet name="5 stock" sheetId="3" state="hidden" r:id="rId2"/>
    <sheet name="Cover Page" sheetId="17" r:id="rId3"/>
    <sheet name="Instructions" sheetId="18" r:id="rId4"/>
    <sheet name="FlowChart" sheetId="19" r:id="rId5"/>
    <sheet name="2 STOCKS PORTFOLIO " sheetId="1" r:id="rId6"/>
    <sheet name="2 stock (verf.)" sheetId="4" state="hidden" r:id="rId7"/>
    <sheet name="5 STOCKS" sheetId="5" state="hidden" r:id="rId8"/>
    <sheet name="Table_2__2" sheetId="10" state="hidden" r:id="rId9"/>
    <sheet name="Table_2__3" sheetId="9" state="hidden" r:id="rId10"/>
    <sheet name="Table_2" sheetId="8" state="hidden" r:id="rId11"/>
    <sheet name="Table 2 (5)" sheetId="15" state="hidden" r:id="rId12"/>
    <sheet name="Table 2 (4)" sheetId="14" state="hidden" r:id="rId13"/>
    <sheet name="Table 2 (3)" sheetId="13" state="hidden" r:id="rId14"/>
    <sheet name="Table 2 (2)" sheetId="12" state="hidden" r:id="rId15"/>
    <sheet name="Sheet2" sheetId="7" state="hidden" r:id="rId16"/>
    <sheet name="Sheet1" sheetId="6" state="hidden" r:id="rId17"/>
  </sheets>
  <definedNames>
    <definedName name="ExternalData_1" localSheetId="10" hidden="1">Table_2!$A$1:$C$101</definedName>
    <definedName name="ExternalData_2" localSheetId="14" hidden="1">'Table 2 (2)'!$A$1:$G$101</definedName>
    <definedName name="ExternalData_2" localSheetId="9" hidden="1">Table_2__3!$A$1:$G$101</definedName>
    <definedName name="ExternalData_3" localSheetId="13" hidden="1">'Table 2 (3)'!$A$1:$G$101</definedName>
    <definedName name="ExternalData_3" localSheetId="8" hidden="1">Table_2__2!$A$1:$A$101</definedName>
    <definedName name="ExternalData_4" localSheetId="12" hidden="1">'Table 2 (4)'!$A$1:$G$101</definedName>
    <definedName name="ExternalData_5" localSheetId="11" hidden="1">'Table 2 (5)'!$A$1:$G$101</definedName>
    <definedName name="solver_adj" localSheetId="0" hidden="1">'2 stock'!$H$15</definedName>
    <definedName name="solver_adj" localSheetId="6" hidden="1">'2 stock (verf.)'!$H$15</definedName>
    <definedName name="solver_adj" localSheetId="5" hidden="1">'2 STOCKS PORTFOLIO '!$O$6</definedName>
    <definedName name="solver_adj" localSheetId="1" hidden="1">'5 stock'!$D$19:$D$23</definedName>
    <definedName name="solver_adj" localSheetId="7" hidden="1">'5 STOCKS'!$I$19:$I$23</definedName>
    <definedName name="solver_cvg" localSheetId="0" hidden="1">0.0001</definedName>
    <definedName name="solver_cvg" localSheetId="6" hidden="1">0.0001</definedName>
    <definedName name="solver_cvg" localSheetId="5" hidden="1">0.0001</definedName>
    <definedName name="solver_cvg" localSheetId="1" hidden="1">0.0001</definedName>
    <definedName name="solver_cvg" localSheetId="7" hidden="1">0.0001</definedName>
    <definedName name="solver_drv" localSheetId="0" hidden="1">2</definedName>
    <definedName name="solver_drv" localSheetId="6" hidden="1">2</definedName>
    <definedName name="solver_drv" localSheetId="5" hidden="1">1</definedName>
    <definedName name="solver_drv" localSheetId="1" hidden="1">1</definedName>
    <definedName name="solver_drv" localSheetId="7" hidden="1">1</definedName>
    <definedName name="solver_eng" localSheetId="0" hidden="1">1</definedName>
    <definedName name="solver_eng" localSheetId="6" hidden="1">1</definedName>
    <definedName name="solver_eng" localSheetId="5" hidden="1">1</definedName>
    <definedName name="solver_eng" localSheetId="1" hidden="1">1</definedName>
    <definedName name="solver_eng" localSheetId="7" hidden="1">1</definedName>
    <definedName name="solver_est" localSheetId="0" hidden="1">1</definedName>
    <definedName name="solver_est" localSheetId="6" hidden="1">1</definedName>
    <definedName name="solver_est" localSheetId="5" hidden="1">1</definedName>
    <definedName name="solver_est" localSheetId="1" hidden="1">1</definedName>
    <definedName name="solver_est" localSheetId="7" hidden="1">1</definedName>
    <definedName name="solver_itr" localSheetId="0" hidden="1">2147483647</definedName>
    <definedName name="solver_itr" localSheetId="6" hidden="1">2147483647</definedName>
    <definedName name="solver_itr" localSheetId="5" hidden="1">2147483647</definedName>
    <definedName name="solver_itr" localSheetId="1" hidden="1">2147483647</definedName>
    <definedName name="solver_itr" localSheetId="7" hidden="1">2147483647</definedName>
    <definedName name="solver_lhs1" localSheetId="5" hidden="1">'2 STOCKS PORTFOLIO '!$O$6</definedName>
    <definedName name="solver_lhs1" localSheetId="1" hidden="1">'5 stock'!$D$24</definedName>
    <definedName name="solver_lhs1" localSheetId="7" hidden="1">'5 STOCKS'!$I$24</definedName>
    <definedName name="solver_lhs2" localSheetId="5" hidden="1">'2 STOCKS PORTFOLIO '!$O$6</definedName>
    <definedName name="solver_lhs2" localSheetId="1" hidden="1">'5 stock'!$D$24</definedName>
    <definedName name="solver_lhs2" localSheetId="7" hidden="1">'5 STOCKS'!$I$26</definedName>
    <definedName name="solver_lhs3" localSheetId="7" hidden="1">'5 STOCKS'!$H$26</definedName>
    <definedName name="solver_lin" localSheetId="5" hidden="1">2</definedName>
    <definedName name="solver_mip" localSheetId="0" hidden="1">2147483647</definedName>
    <definedName name="solver_mip" localSheetId="6" hidden="1">2147483647</definedName>
    <definedName name="solver_mip" localSheetId="5" hidden="1">2147483647</definedName>
    <definedName name="solver_mip" localSheetId="1" hidden="1">2147483647</definedName>
    <definedName name="solver_mip" localSheetId="7" hidden="1">2147483647</definedName>
    <definedName name="solver_mni" localSheetId="0" hidden="1">30</definedName>
    <definedName name="solver_mni" localSheetId="6" hidden="1">30</definedName>
    <definedName name="solver_mni" localSheetId="5" hidden="1">30</definedName>
    <definedName name="solver_mni" localSheetId="1" hidden="1">30</definedName>
    <definedName name="solver_mni" localSheetId="7" hidden="1">30</definedName>
    <definedName name="solver_mrt" localSheetId="0" hidden="1">0.075</definedName>
    <definedName name="solver_mrt" localSheetId="6" hidden="1">0.075</definedName>
    <definedName name="solver_mrt" localSheetId="5" hidden="1">0.075</definedName>
    <definedName name="solver_mrt" localSheetId="1" hidden="1">0.075</definedName>
    <definedName name="solver_mrt" localSheetId="7" hidden="1">0.075</definedName>
    <definedName name="solver_msl" localSheetId="0" hidden="1">2</definedName>
    <definedName name="solver_msl" localSheetId="6" hidden="1">2</definedName>
    <definedName name="solver_msl" localSheetId="5" hidden="1">2</definedName>
    <definedName name="solver_msl" localSheetId="1" hidden="1">2</definedName>
    <definedName name="solver_msl" localSheetId="7" hidden="1">2</definedName>
    <definedName name="solver_neg" localSheetId="0" hidden="1">1</definedName>
    <definedName name="solver_neg" localSheetId="6" hidden="1">1</definedName>
    <definedName name="solver_neg" localSheetId="5" hidden="1">1</definedName>
    <definedName name="solver_neg" localSheetId="1" hidden="1">1</definedName>
    <definedName name="solver_neg" localSheetId="7" hidden="1">1</definedName>
    <definedName name="solver_nod" localSheetId="0" hidden="1">2147483647</definedName>
    <definedName name="solver_nod" localSheetId="6" hidden="1">2147483647</definedName>
    <definedName name="solver_nod" localSheetId="5" hidden="1">2147483647</definedName>
    <definedName name="solver_nod" localSheetId="1" hidden="1">2147483647</definedName>
    <definedName name="solver_nod" localSheetId="7" hidden="1">2147483647</definedName>
    <definedName name="solver_num" localSheetId="0" hidden="1">0</definedName>
    <definedName name="solver_num" localSheetId="6" hidden="1">0</definedName>
    <definedName name="solver_num" localSheetId="5" hidden="1">0</definedName>
    <definedName name="solver_num" localSheetId="1" hidden="1">1</definedName>
    <definedName name="solver_num" localSheetId="7" hidden="1">2</definedName>
    <definedName name="solver_nwt" localSheetId="0" hidden="1">1</definedName>
    <definedName name="solver_nwt" localSheetId="6" hidden="1">1</definedName>
    <definedName name="solver_nwt" localSheetId="5" hidden="1">1</definedName>
    <definedName name="solver_nwt" localSheetId="1" hidden="1">1</definedName>
    <definedName name="solver_nwt" localSheetId="7" hidden="1">1</definedName>
    <definedName name="solver_opt" localSheetId="0" hidden="1">'2 stock'!$K$18</definedName>
    <definedName name="solver_opt" localSheetId="6" hidden="1">'2 stock (verf.)'!$K$18</definedName>
    <definedName name="solver_opt" localSheetId="5" hidden="1">'2 STOCKS PORTFOLIO '!$G$5</definedName>
    <definedName name="solver_opt" localSheetId="1" hidden="1">'5 stock'!$B$39</definedName>
    <definedName name="solver_opt" localSheetId="7" hidden="1">'5 STOCKS'!$I$25</definedName>
    <definedName name="solver_pre" localSheetId="0" hidden="1">0.000001</definedName>
    <definedName name="solver_pre" localSheetId="6" hidden="1">0.000001</definedName>
    <definedName name="solver_pre" localSheetId="5" hidden="1">0.000001</definedName>
    <definedName name="solver_pre" localSheetId="1" hidden="1">0.000001</definedName>
    <definedName name="solver_pre" localSheetId="7" hidden="1">0.000001</definedName>
    <definedName name="solver_rbv" localSheetId="0" hidden="1">2</definedName>
    <definedName name="solver_rbv" localSheetId="6" hidden="1">2</definedName>
    <definedName name="solver_rbv" localSheetId="5" hidden="1">1</definedName>
    <definedName name="solver_rbv" localSheetId="1" hidden="1">1</definedName>
    <definedName name="solver_rbv" localSheetId="7" hidden="1">1</definedName>
    <definedName name="solver_rel1" localSheetId="5" hidden="1">3</definedName>
    <definedName name="solver_rel1" localSheetId="1" hidden="1">2</definedName>
    <definedName name="solver_rel1" localSheetId="7" hidden="1">2</definedName>
    <definedName name="solver_rel2" localSheetId="5" hidden="1">3</definedName>
    <definedName name="solver_rel2" localSheetId="1" hidden="1">2</definedName>
    <definedName name="solver_rel2" localSheetId="7" hidden="1">2</definedName>
    <definedName name="solver_rel3" localSheetId="7" hidden="1">2</definedName>
    <definedName name="solver_rhs1" localSheetId="5" hidden="1">0</definedName>
    <definedName name="solver_rhs1" localSheetId="1" hidden="1">1</definedName>
    <definedName name="solver_rhs1" localSheetId="7" hidden="1">1</definedName>
    <definedName name="solver_rhs2" localSheetId="5" hidden="1">0</definedName>
    <definedName name="solver_rhs2" localSheetId="1" hidden="1">1</definedName>
    <definedName name="solver_rhs2" localSheetId="7" hidden="1">0.004</definedName>
    <definedName name="solver_rhs3" localSheetId="7" hidden="1">0.004</definedName>
    <definedName name="solver_rlx" localSheetId="0" hidden="1">2</definedName>
    <definedName name="solver_rlx" localSheetId="6" hidden="1">2</definedName>
    <definedName name="solver_rlx" localSheetId="5" hidden="1">2</definedName>
    <definedName name="solver_rlx" localSheetId="1" hidden="1">2</definedName>
    <definedName name="solver_rlx" localSheetId="7" hidden="1">2</definedName>
    <definedName name="solver_rsd" localSheetId="0" hidden="1">0</definedName>
    <definedName name="solver_rsd" localSheetId="6" hidden="1">0</definedName>
    <definedName name="solver_rsd" localSheetId="5" hidden="1">0</definedName>
    <definedName name="solver_rsd" localSheetId="1" hidden="1">0</definedName>
    <definedName name="solver_rsd" localSheetId="7" hidden="1">0</definedName>
    <definedName name="solver_scl" localSheetId="0" hidden="1">2</definedName>
    <definedName name="solver_scl" localSheetId="6" hidden="1">2</definedName>
    <definedName name="solver_scl" localSheetId="5" hidden="1">1</definedName>
    <definedName name="solver_scl" localSheetId="1" hidden="1">1</definedName>
    <definedName name="solver_scl" localSheetId="7" hidden="1">1</definedName>
    <definedName name="solver_sho" localSheetId="0" hidden="1">2</definedName>
    <definedName name="solver_sho" localSheetId="6" hidden="1">2</definedName>
    <definedName name="solver_sho" localSheetId="5" hidden="1">2</definedName>
    <definedName name="solver_sho" localSheetId="1" hidden="1">2</definedName>
    <definedName name="solver_sho" localSheetId="7" hidden="1">2</definedName>
    <definedName name="solver_ssz" localSheetId="0" hidden="1">100</definedName>
    <definedName name="solver_ssz" localSheetId="6" hidden="1">100</definedName>
    <definedName name="solver_ssz" localSheetId="5" hidden="1">100</definedName>
    <definedName name="solver_ssz" localSheetId="1" hidden="1">100</definedName>
    <definedName name="solver_ssz" localSheetId="7" hidden="1">100</definedName>
    <definedName name="solver_tim" localSheetId="0" hidden="1">2147483647</definedName>
    <definedName name="solver_tim" localSheetId="6" hidden="1">2147483647</definedName>
    <definedName name="solver_tim" localSheetId="5" hidden="1">2147483647</definedName>
    <definedName name="solver_tim" localSheetId="1" hidden="1">2147483647</definedName>
    <definedName name="solver_tim" localSheetId="7" hidden="1">2147483647</definedName>
    <definedName name="solver_tol" localSheetId="0" hidden="1">0.01</definedName>
    <definedName name="solver_tol" localSheetId="6" hidden="1">0.01</definedName>
    <definedName name="solver_tol" localSheetId="5" hidden="1">0</definedName>
    <definedName name="solver_tol" localSheetId="1" hidden="1">0.01</definedName>
    <definedName name="solver_tol" localSheetId="7" hidden="1">0.01</definedName>
    <definedName name="solver_typ" localSheetId="0" hidden="1">1</definedName>
    <definedName name="solver_typ" localSheetId="6" hidden="1">1</definedName>
    <definedName name="solver_typ" localSheetId="5" hidden="1">1</definedName>
    <definedName name="solver_typ" localSheetId="1" hidden="1">1</definedName>
    <definedName name="solver_typ" localSheetId="7" hidden="1">2</definedName>
    <definedName name="solver_val" localSheetId="0" hidden="1">0</definedName>
    <definedName name="solver_val" localSheetId="6" hidden="1">0</definedName>
    <definedName name="solver_val" localSheetId="5" hidden="1">0</definedName>
    <definedName name="solver_val" localSheetId="1" hidden="1">0</definedName>
    <definedName name="solver_val" localSheetId="7" hidden="1">0</definedName>
    <definedName name="solver_ver" localSheetId="0" hidden="1">3</definedName>
    <definedName name="solver_ver" localSheetId="6" hidden="1">3</definedName>
    <definedName name="solver_ver" localSheetId="5" hidden="1">3</definedName>
    <definedName name="solver_ver" localSheetId="1" hidden="1">3</definedName>
    <definedName name="solver_ver" localSheetId="7" hidden="1">3</definedName>
  </definedNames>
  <calcPr calcId="191029" iterate="1" iterateCount="1000" iterateDelta="0.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1" l="1"/>
  <c r="P5" i="1"/>
  <c r="O5" i="1"/>
  <c r="F14" i="1"/>
  <c r="E14" i="1"/>
  <c r="D14" i="1"/>
  <c r="C14" i="1"/>
  <c r="C6"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E2001" i="1"/>
  <c r="D15" i="1" a="1"/>
  <c r="B15" i="1" a="1"/>
  <c r="D15" i="1" l="1"/>
  <c r="B15" i="1"/>
  <c r="F36" i="1"/>
  <c r="F40" i="1"/>
  <c r="F44" i="1"/>
  <c r="F48" i="1"/>
  <c r="F52" i="1"/>
  <c r="F56" i="1"/>
  <c r="F37" i="1"/>
  <c r="F41" i="1"/>
  <c r="F45" i="1"/>
  <c r="F49" i="1"/>
  <c r="F53" i="1"/>
  <c r="F57" i="1"/>
  <c r="F34" i="1"/>
  <c r="F38" i="1"/>
  <c r="F42" i="1"/>
  <c r="F46" i="1"/>
  <c r="F50" i="1"/>
  <c r="F54" i="1"/>
  <c r="F35" i="1"/>
  <c r="F39" i="1"/>
  <c r="F43" i="1"/>
  <c r="F47" i="1"/>
  <c r="F51" i="1"/>
  <c r="F55" i="1"/>
  <c r="E37" i="1"/>
  <c r="E41" i="1"/>
  <c r="E45" i="1"/>
  <c r="E49" i="1"/>
  <c r="E53" i="1"/>
  <c r="E57" i="1"/>
  <c r="E36" i="1"/>
  <c r="E34" i="1"/>
  <c r="E38" i="1"/>
  <c r="E42" i="1"/>
  <c r="E46" i="1"/>
  <c r="E50" i="1"/>
  <c r="E54" i="1"/>
  <c r="E35" i="1"/>
  <c r="E39" i="1"/>
  <c r="E43" i="1"/>
  <c r="E47" i="1"/>
  <c r="E51" i="1"/>
  <c r="E55" i="1"/>
  <c r="E40" i="1"/>
  <c r="E48" i="1"/>
  <c r="E52" i="1"/>
  <c r="E56" i="1"/>
  <c r="E44" i="1"/>
  <c r="E32" i="1"/>
  <c r="E29" i="1"/>
  <c r="E33" i="1"/>
  <c r="E30" i="1"/>
  <c r="E31" i="1"/>
  <c r="F29" i="1" l="1"/>
  <c r="F31" i="1"/>
  <c r="F32" i="1"/>
  <c r="F33" i="1"/>
  <c r="F30" i="1"/>
  <c r="A28" i="5" a="1"/>
  <c r="A28" i="5" s="1"/>
  <c r="G29" i="5" a="1"/>
  <c r="G29" i="5" s="1"/>
  <c r="D33" i="5"/>
  <c r="T32" i="1"/>
  <c r="G31" i="5"/>
  <c r="F15" i="1" l="1"/>
  <c r="A31" i="5"/>
  <c r="A29" i="5"/>
  <c r="A32" i="5"/>
  <c r="A30" i="5"/>
  <c r="I26" i="5" l="1" a="1"/>
  <c r="I26" i="5" s="1"/>
  <c r="C26" i="5" a="1"/>
  <c r="C26" i="5" s="1"/>
  <c r="I24" i="5"/>
  <c r="C24" i="5"/>
  <c r="K17" i="5"/>
  <c r="J17" i="5"/>
  <c r="I17" i="5"/>
  <c r="H17" i="5"/>
  <c r="G17" i="5"/>
  <c r="K16" i="5"/>
  <c r="J16" i="5"/>
  <c r="I16" i="5"/>
  <c r="H16" i="5"/>
  <c r="G16" i="5"/>
  <c r="K15" i="5"/>
  <c r="J15" i="5"/>
  <c r="I15" i="5"/>
  <c r="H15" i="5"/>
  <c r="G15" i="5"/>
  <c r="K14" i="5"/>
  <c r="J14" i="5"/>
  <c r="I14" i="5"/>
  <c r="H14" i="5"/>
  <c r="G14" i="5"/>
  <c r="K13" i="5"/>
  <c r="J13" i="5"/>
  <c r="I13" i="5"/>
  <c r="H13" i="5"/>
  <c r="G13" i="5"/>
  <c r="K12" i="5"/>
  <c r="J12" i="5"/>
  <c r="I12" i="5"/>
  <c r="H12" i="5"/>
  <c r="G12" i="5"/>
  <c r="K11" i="5"/>
  <c r="J11" i="5"/>
  <c r="I11" i="5"/>
  <c r="H11" i="5"/>
  <c r="G11" i="5"/>
  <c r="K10" i="5"/>
  <c r="J10" i="5"/>
  <c r="I10" i="5"/>
  <c r="H10" i="5"/>
  <c r="G10" i="5"/>
  <c r="K9" i="5"/>
  <c r="J9" i="5"/>
  <c r="I9" i="5"/>
  <c r="H9" i="5"/>
  <c r="G9" i="5"/>
  <c r="K8" i="5"/>
  <c r="J8" i="5"/>
  <c r="I8" i="5"/>
  <c r="H8" i="5"/>
  <c r="G8" i="5"/>
  <c r="K7" i="5"/>
  <c r="J7" i="5"/>
  <c r="I7" i="5"/>
  <c r="H7" i="5"/>
  <c r="G7" i="5"/>
  <c r="C29" i="5" l="1"/>
  <c r="C31" i="5"/>
  <c r="C30" i="5"/>
  <c r="C28" i="5"/>
  <c r="C32" i="5"/>
  <c r="F24" i="5"/>
  <c r="H26" i="5" a="1"/>
  <c r="H26" i="5" s="1"/>
  <c r="F26" i="5" a="1"/>
  <c r="F26" i="5" s="1"/>
  <c r="G28" i="5" l="1"/>
  <c r="G32" i="5" s="1"/>
  <c r="I25" i="5"/>
  <c r="C25" i="5"/>
  <c r="F25" i="5"/>
  <c r="H24" i="5"/>
  <c r="G25" i="5"/>
  <c r="H25" i="5"/>
  <c r="G24" i="5"/>
  <c r="G26" i="5" a="1"/>
  <c r="G26" i="5" s="1"/>
  <c r="D24" i="5" l="1"/>
  <c r="D26" i="5" a="1"/>
  <c r="D26" i="5" s="1"/>
  <c r="D25" i="5"/>
  <c r="E26" i="5" l="1" a="1"/>
  <c r="E26" i="5" s="1"/>
  <c r="E24" i="5"/>
  <c r="E25" i="5"/>
  <c r="J28" i="3" l="1"/>
  <c r="K28" i="3"/>
  <c r="H32" i="3"/>
  <c r="I32" i="3" s="1"/>
  <c r="J32" i="3" s="1"/>
  <c r="K32" i="3" s="1"/>
  <c r="L33" i="3"/>
  <c r="L35" i="3" a="1"/>
  <c r="L35" i="3" s="1"/>
  <c r="C33" i="3"/>
  <c r="D30" i="3"/>
  <c r="E30" i="3" s="1"/>
  <c r="F30" i="3" s="1"/>
  <c r="D29" i="3"/>
  <c r="E29" i="3" s="1"/>
  <c r="D28" i="3"/>
  <c r="E28" i="3" s="1"/>
  <c r="F28" i="3" s="1"/>
  <c r="G28" i="3" s="1"/>
  <c r="H28" i="3" s="1"/>
  <c r="G31" i="3"/>
  <c r="H31" i="3" s="1"/>
  <c r="E31" i="3"/>
  <c r="C35" i="3" a="1"/>
  <c r="C35" i="3" s="1"/>
  <c r="D24" i="3"/>
  <c r="C26" i="3" a="1"/>
  <c r="C26" i="3" s="1"/>
  <c r="I31" i="3" l="1"/>
  <c r="I33" i="3" s="1"/>
  <c r="H33" i="3"/>
  <c r="H35" i="3" a="1"/>
  <c r="H35" i="3" s="1"/>
  <c r="D33" i="3"/>
  <c r="G35" i="3" a="1"/>
  <c r="G35" i="3" s="1"/>
  <c r="D35" i="3" a="1"/>
  <c r="D35" i="3" s="1"/>
  <c r="G33" i="3"/>
  <c r="I35" i="3" l="1" a="1"/>
  <c r="I35" i="3" s="1"/>
  <c r="J31" i="3"/>
  <c r="J33" i="3" s="1"/>
  <c r="J35" i="3" a="1"/>
  <c r="J35" i="3" s="1"/>
  <c r="K31" i="3"/>
  <c r="E35" i="3" a="1"/>
  <c r="E35" i="3" s="1"/>
  <c r="F33" i="3"/>
  <c r="F35" i="3" a="1"/>
  <c r="F35" i="3" s="1"/>
  <c r="K35" i="3" l="1" a="1"/>
  <c r="K35" i="3" s="1"/>
  <c r="K33" i="3"/>
  <c r="A19" i="3" a="1"/>
  <c r="A19" i="3" s="1"/>
  <c r="H5" i="3"/>
  <c r="I5" i="3"/>
  <c r="J5" i="3"/>
  <c r="K5" i="3"/>
  <c r="H6" i="3"/>
  <c r="I6" i="3"/>
  <c r="J6" i="3"/>
  <c r="K6" i="3"/>
  <c r="H7" i="3"/>
  <c r="I7" i="3"/>
  <c r="J7" i="3"/>
  <c r="K7" i="3"/>
  <c r="H8" i="3"/>
  <c r="I8" i="3"/>
  <c r="J8" i="3"/>
  <c r="K8" i="3"/>
  <c r="H9" i="3"/>
  <c r="I9" i="3"/>
  <c r="J9" i="3"/>
  <c r="K9" i="3"/>
  <c r="H10" i="3"/>
  <c r="I10" i="3"/>
  <c r="J10" i="3"/>
  <c r="K10" i="3"/>
  <c r="H11" i="3"/>
  <c r="I11" i="3"/>
  <c r="J11" i="3"/>
  <c r="K11" i="3"/>
  <c r="H12" i="3"/>
  <c r="I12" i="3"/>
  <c r="J12" i="3"/>
  <c r="K12" i="3"/>
  <c r="H13" i="3"/>
  <c r="I13" i="3"/>
  <c r="J13" i="3"/>
  <c r="K13" i="3"/>
  <c r="H14" i="3"/>
  <c r="I14" i="3"/>
  <c r="J14" i="3"/>
  <c r="K14" i="3"/>
  <c r="H15" i="3"/>
  <c r="I15" i="3"/>
  <c r="J15" i="3"/>
  <c r="K15" i="3"/>
  <c r="G6" i="3"/>
  <c r="G7" i="3"/>
  <c r="G8" i="3"/>
  <c r="G9" i="3"/>
  <c r="G10" i="3"/>
  <c r="G11" i="3"/>
  <c r="G12" i="3"/>
  <c r="G13" i="3"/>
  <c r="G14" i="3"/>
  <c r="G15" i="3"/>
  <c r="G5" i="3"/>
  <c r="D15" i="2"/>
  <c r="D18" i="4"/>
  <c r="E16" i="4"/>
  <c r="E17" i="4" s="1"/>
  <c r="D16" i="4"/>
  <c r="D17" i="4" s="1"/>
  <c r="I15" i="4"/>
  <c r="E15" i="4"/>
  <c r="D20" i="4" s="1"/>
  <c r="H3" i="4"/>
  <c r="I2" i="4"/>
  <c r="I15" i="2"/>
  <c r="I3" i="2"/>
  <c r="I2" i="2"/>
  <c r="H3" i="2"/>
  <c r="D18" i="2"/>
  <c r="E16" i="2"/>
  <c r="E17" i="2" s="1"/>
  <c r="D16" i="2"/>
  <c r="D17" i="2" s="1"/>
  <c r="E15" i="2"/>
  <c r="P6" i="1"/>
  <c r="U6" i="1"/>
  <c r="T7" i="1"/>
  <c r="U7" i="1" s="1"/>
  <c r="U32" i="1"/>
  <c r="U31" i="1"/>
  <c r="J3" i="2" l="1"/>
  <c r="K2" i="2"/>
  <c r="D21" i="2"/>
  <c r="H4" i="2"/>
  <c r="K3" i="2"/>
  <c r="C20" i="3"/>
  <c r="K15" i="2"/>
  <c r="T33" i="1"/>
  <c r="T8" i="1"/>
  <c r="C22" i="3"/>
  <c r="C21" i="3"/>
  <c r="C23" i="3"/>
  <c r="C19" i="3"/>
  <c r="A23" i="3"/>
  <c r="A22" i="3"/>
  <c r="A21" i="3"/>
  <c r="A20" i="3"/>
  <c r="D20" i="2"/>
  <c r="J2" i="2"/>
  <c r="D21" i="4"/>
  <c r="K15" i="4"/>
  <c r="K2" i="4"/>
  <c r="J2" i="4"/>
  <c r="H4" i="4"/>
  <c r="I3" i="4"/>
  <c r="K3" i="4" s="1"/>
  <c r="J15" i="4"/>
  <c r="J15" i="2"/>
  <c r="K18" i="2" s="1"/>
  <c r="J3" i="4" l="1"/>
  <c r="L34" i="3"/>
  <c r="H34" i="3"/>
  <c r="I34" i="3"/>
  <c r="J34" i="3"/>
  <c r="K34" i="3"/>
  <c r="H5" i="2"/>
  <c r="I4" i="2"/>
  <c r="K4" i="2" s="1"/>
  <c r="U8" i="1"/>
  <c r="T9" i="1"/>
  <c r="T34" i="1"/>
  <c r="U33" i="1"/>
  <c r="C34" i="3"/>
  <c r="C25" i="3"/>
  <c r="B39" i="3" s="1"/>
  <c r="D34" i="3"/>
  <c r="G34" i="3"/>
  <c r="F34" i="3"/>
  <c r="E34" i="3"/>
  <c r="K18" i="4"/>
  <c r="H5" i="4"/>
  <c r="K4" i="4"/>
  <c r="J4" i="4"/>
  <c r="I4" i="4"/>
  <c r="H6" i="2" l="1"/>
  <c r="I5" i="2"/>
  <c r="K5" i="2" s="1"/>
  <c r="J4" i="2"/>
  <c r="T10" i="1"/>
  <c r="T11" i="1" s="1"/>
  <c r="T12" i="1" s="1"/>
  <c r="T14" i="1" s="1"/>
  <c r="T15" i="1" s="1"/>
  <c r="T16" i="1" s="1"/>
  <c r="T17" i="1" s="1"/>
  <c r="T18" i="1" s="1"/>
  <c r="T19" i="1" s="1"/>
  <c r="T20" i="1" s="1"/>
  <c r="T21" i="1" s="1"/>
  <c r="T22" i="1" s="1"/>
  <c r="T23" i="1" s="1"/>
  <c r="T24" i="1" s="1"/>
  <c r="T25" i="1" s="1"/>
  <c r="T26" i="1" s="1"/>
  <c r="T27" i="1" s="1"/>
  <c r="U9" i="1"/>
  <c r="T35" i="1"/>
  <c r="U34" i="1"/>
  <c r="I5" i="4"/>
  <c r="K5" i="4" s="1"/>
  <c r="H6" i="4"/>
  <c r="H7" i="2" l="1"/>
  <c r="I6" i="2"/>
  <c r="K6" i="2" s="1"/>
  <c r="J6" i="2"/>
  <c r="J5" i="2"/>
  <c r="T36" i="1"/>
  <c r="U35" i="1"/>
  <c r="U10" i="1"/>
  <c r="H7" i="4"/>
  <c r="I6" i="4"/>
  <c r="K6" i="4" s="1"/>
  <c r="J5" i="4"/>
  <c r="J6" i="4" l="1"/>
  <c r="H8" i="2"/>
  <c r="I7" i="2"/>
  <c r="K7" i="2" s="1"/>
  <c r="J7" i="2"/>
  <c r="U11" i="1"/>
  <c r="T37" i="1"/>
  <c r="U36" i="1"/>
  <c r="I7" i="4"/>
  <c r="J7" i="4" s="1"/>
  <c r="H8" i="4"/>
  <c r="H9" i="2" l="1"/>
  <c r="I8" i="2"/>
  <c r="K8" i="2" s="1"/>
  <c r="T38" i="1"/>
  <c r="U37" i="1"/>
  <c r="U12" i="1"/>
  <c r="K7" i="4"/>
  <c r="H9" i="4"/>
  <c r="I8" i="4"/>
  <c r="J8" i="4" s="1"/>
  <c r="J8" i="2" l="1"/>
  <c r="K8" i="4"/>
  <c r="H10" i="2"/>
  <c r="I9" i="2"/>
  <c r="K9" i="2" s="1"/>
  <c r="U14" i="1"/>
  <c r="T39" i="1"/>
  <c r="U38" i="1"/>
  <c r="I9" i="4"/>
  <c r="K9" i="4" s="1"/>
  <c r="H10" i="4"/>
  <c r="J9" i="2" l="1"/>
  <c r="H11" i="2"/>
  <c r="I10" i="2"/>
  <c r="K10" i="2" s="1"/>
  <c r="T40" i="1"/>
  <c r="U39" i="1"/>
  <c r="U15" i="1"/>
  <c r="J9" i="4"/>
  <c r="H11" i="4"/>
  <c r="I10" i="4"/>
  <c r="J10" i="4" s="1"/>
  <c r="J10" i="2" l="1"/>
  <c r="K10" i="4"/>
  <c r="H12" i="2"/>
  <c r="I11" i="2"/>
  <c r="K11" i="2" s="1"/>
  <c r="U16" i="1"/>
  <c r="T41" i="1"/>
  <c r="U40" i="1"/>
  <c r="I11" i="4"/>
  <c r="J11" i="4" s="1"/>
  <c r="H12" i="4"/>
  <c r="J11" i="2" l="1"/>
  <c r="H13" i="2"/>
  <c r="I12" i="2"/>
  <c r="J12" i="2" s="1"/>
  <c r="K11" i="4"/>
  <c r="U41" i="1"/>
  <c r="U17" i="1"/>
  <c r="H13" i="4"/>
  <c r="I12" i="4"/>
  <c r="K12" i="4" s="1"/>
  <c r="K12" i="2" l="1"/>
  <c r="H14" i="2"/>
  <c r="I13" i="2"/>
  <c r="K13" i="2" s="1"/>
  <c r="J13" i="2"/>
  <c r="U18" i="1"/>
  <c r="I13" i="4"/>
  <c r="J13" i="4" s="1"/>
  <c r="H14" i="4"/>
  <c r="J12" i="4"/>
  <c r="K13" i="4" l="1"/>
  <c r="I14" i="2"/>
  <c r="K14" i="2" s="1"/>
  <c r="J14" i="2"/>
  <c r="U19" i="1"/>
  <c r="I14" i="4"/>
  <c r="K14" i="4" s="1"/>
  <c r="U20" i="1" l="1"/>
  <c r="J14" i="4"/>
  <c r="E33" i="3"/>
  <c r="U21" i="1" l="1"/>
  <c r="U22" i="1" l="1"/>
  <c r="U23" i="1" l="1"/>
  <c r="U24" i="1" l="1"/>
  <c r="U25" i="1" l="1"/>
  <c r="U26" i="1" l="1"/>
  <c r="U27" i="1" l="1"/>
  <c r="D27" i="1" l="1"/>
  <c r="D26" i="1"/>
  <c r="D25" i="1"/>
  <c r="D24" i="1"/>
  <c r="D23" i="1"/>
  <c r="D22" i="1"/>
  <c r="D21" i="1"/>
  <c r="D20" i="1"/>
  <c r="D19" i="1"/>
  <c r="D18" i="1"/>
  <c r="D17" i="1"/>
  <c r="D16" i="1"/>
  <c r="F16" i="1" s="1"/>
  <c r="C27" i="1"/>
  <c r="B27" i="1"/>
  <c r="C26" i="1"/>
  <c r="B26" i="1"/>
  <c r="C25" i="1"/>
  <c r="B25" i="1"/>
  <c r="C24" i="1"/>
  <c r="B24" i="1"/>
  <c r="C23" i="1"/>
  <c r="B23" i="1"/>
  <c r="C22" i="1"/>
  <c r="B22" i="1"/>
  <c r="C21" i="1"/>
  <c r="B21" i="1"/>
  <c r="C20" i="1"/>
  <c r="B20" i="1"/>
  <c r="C19" i="1"/>
  <c r="B19" i="1"/>
  <c r="C18" i="1"/>
  <c r="B18" i="1"/>
  <c r="C17" i="1"/>
  <c r="B17" i="1"/>
  <c r="C16" i="1"/>
  <c r="B16" i="1"/>
  <c r="C15" i="1"/>
  <c r="E15" i="1" s="1"/>
  <c r="E19" i="1" l="1"/>
  <c r="F23" i="1"/>
  <c r="E23" i="1"/>
  <c r="F24" i="1"/>
  <c r="E20" i="1"/>
  <c r="F17" i="1"/>
  <c r="E25" i="1"/>
  <c r="E16" i="1"/>
  <c r="F18" i="1"/>
  <c r="E21" i="1"/>
  <c r="F28" i="1"/>
  <c r="F27" i="1"/>
  <c r="E22" i="1"/>
  <c r="F21" i="1"/>
  <c r="E28" i="1"/>
  <c r="E27" i="1"/>
  <c r="E24" i="1"/>
  <c r="F25" i="1"/>
  <c r="F26" i="1"/>
  <c r="E17" i="1"/>
  <c r="F19" i="1"/>
  <c r="F20" i="1"/>
  <c r="E18" i="1"/>
  <c r="E26" i="1"/>
  <c r="F22" i="1"/>
  <c r="M4" i="1" l="1"/>
  <c r="M5" i="1"/>
  <c r="M6" i="1" s="1"/>
  <c r="L5" i="1"/>
  <c r="L6" i="1" s="1"/>
  <c r="L4" i="1"/>
  <c r="L7" i="1"/>
  <c r="V31" i="1" l="1"/>
  <c r="V40" i="1"/>
  <c r="V33" i="1"/>
  <c r="V32" i="1"/>
  <c r="V39" i="1"/>
  <c r="V36" i="1"/>
  <c r="V37" i="1"/>
  <c r="V38" i="1"/>
  <c r="V41" i="1"/>
  <c r="V34" i="1"/>
  <c r="V35" i="1"/>
  <c r="Q6" i="1"/>
  <c r="W35" i="1"/>
  <c r="W41" i="1"/>
  <c r="W31" i="1"/>
  <c r="W36" i="1"/>
  <c r="W40" i="1"/>
  <c r="W38" i="1"/>
  <c r="R6" i="1"/>
  <c r="H7" i="1" s="1"/>
  <c r="W32" i="1"/>
  <c r="W39" i="1"/>
  <c r="W34" i="1"/>
  <c r="W37" i="1"/>
  <c r="W33" i="1"/>
  <c r="W20" i="1" l="1"/>
  <c r="W18" i="1"/>
  <c r="W24" i="1"/>
  <c r="W9" i="1"/>
  <c r="W17" i="1"/>
  <c r="W14" i="1"/>
  <c r="W15" i="1"/>
  <c r="W11" i="1"/>
  <c r="W21" i="1"/>
  <c r="W8" i="1"/>
  <c r="W7" i="1"/>
  <c r="W12" i="1"/>
  <c r="W26" i="1"/>
  <c r="W10" i="1"/>
  <c r="W16" i="1"/>
  <c r="W23" i="1"/>
  <c r="W6" i="1"/>
  <c r="W19" i="1"/>
  <c r="W25" i="1"/>
  <c r="W22" i="1"/>
  <c r="W27" i="1"/>
  <c r="G7" i="1"/>
  <c r="G5" i="1"/>
  <c r="V7" i="1" l="1"/>
  <c r="V20" i="1"/>
  <c r="V10" i="1"/>
  <c r="V9" i="1"/>
  <c r="V16" i="1"/>
  <c r="V23" i="1"/>
  <c r="V24" i="1"/>
  <c r="V25" i="1"/>
  <c r="V17" i="1"/>
  <c r="V8" i="1"/>
  <c r="V26" i="1"/>
  <c r="V22" i="1"/>
  <c r="V14" i="1"/>
  <c r="V18" i="1"/>
  <c r="V19" i="1"/>
  <c r="V6" i="1"/>
  <c r="V21" i="1"/>
  <c r="V12" i="1"/>
  <c r="V27" i="1"/>
  <c r="V15" i="1"/>
  <c r="V11"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673362-A2ED-4A3E-9547-8163AF91638C}" keepAlive="1" name="Query - Table 2" description="Connection to the 'Table 2' query in the workbook." type="5" refreshedVersion="7" background="1" saveData="1">
    <dbPr connection="Provider=Microsoft.Mashup.OleDb.1;Data Source=$Workbook$;Location=&quot;Table 2&quot;;Extended Properties=&quot;&quot;" command="SELECT * FROM [Table 2]"/>
  </connection>
  <connection id="2" xr16:uid="{638F97F9-48DC-422B-A685-5D29B760BE50}" keepAlive="1" name="Query - Table 2 (2)" description="Connection to the 'Table 2 (2)' query in the workbook." type="5" refreshedVersion="7" background="1" saveData="1">
    <dbPr connection="Provider=Microsoft.Mashup.OleDb.1;Data Source=$Workbook$;Location=&quot;Table 2 (2)&quot;;Extended Properties=&quot;&quot;" command="SELECT * FROM [Table 2 (2)]"/>
  </connection>
  <connection id="3" xr16:uid="{37AF4D0A-AF7A-44A0-8AB2-37AEF7BD6737}" keepAlive="1" name="Query - Table 2 (3)" description="Connection to the 'Table 2 (3)' query in the workbook." type="5" refreshedVersion="7" background="1" saveData="1">
    <dbPr connection="Provider=Microsoft.Mashup.OleDb.1;Data Source=$Workbook$;Location=&quot;Table 2 (3)&quot;;Extended Properties=&quot;&quot;" command="SELECT * FROM [Table 2 (3)]"/>
  </connection>
  <connection id="4" xr16:uid="{6066102E-56DC-4D62-8D16-BD27FDEB8AB4}" keepAlive="1" name="Query - Table 2 (4)" description="Connection to the 'Table 2 (4)' query in the workbook." type="5" refreshedVersion="7" background="1" saveData="1">
    <dbPr connection="Provider=Microsoft.Mashup.OleDb.1;Data Source=$Workbook$;Location=&quot;Table 2 (4)&quot;;Extended Properties=&quot;&quot;" command="SELECT * FROM [Table 2 (4)]"/>
  </connection>
  <connection id="5" xr16:uid="{F16CAFD1-30D9-4C31-AB74-48BD4732E912}" keepAlive="1" name="Query - Table 2 (5)" description="Connection to the 'Table 2 (5)' query in the workbook." type="5" refreshedVersion="7" background="1" saveData="1">
    <dbPr connection="Provider=Microsoft.Mashup.OleDb.1;Data Source=$Workbook$;Location=&quot;Table 2 (5)&quot;;Extended Properties=&quot;&quot;" command="SELECT * FROM [Table 2 (5)]"/>
  </connection>
  <connection id="6" xr16:uid="{862BAFFD-1E99-48C4-A90A-6C814C205403}" keepAlive="1" name="Query - Table_2" description="Connection to the 'Table_2' query in the workbook." type="5" refreshedVersion="7" background="1" saveData="1">
    <dbPr connection="Provider=Microsoft.Mashup.OleDb.1;Data Source=$Workbook$;Location=Table_2;Extended Properties=&quot;&quot;" command="SELECT * FROM [Table_2]"/>
  </connection>
  <connection id="7" xr16:uid="{306F424E-B045-44F9-8F19-EF60CD3A2FC3}" keepAlive="1" name="Query - Table_2__2" description="Connection to the 'Table_2__2' query in the workbook." type="5" refreshedVersion="7" background="1" saveData="1">
    <dbPr connection="Provider=Microsoft.Mashup.OleDb.1;Data Source=$Workbook$;Location=Table_2__2;Extended Properties=&quot;&quot;" command="SELECT * FROM [Table_2__2]"/>
  </connection>
  <connection id="8" xr16:uid="{E0743214-81B2-4AF8-8EEC-7EC93A4776DA}" keepAlive="1" name="Query - Table_2__3" description="Connection to the 'Table_2__3' query in the workbook." type="5" refreshedVersion="7" background="1" saveData="1">
    <dbPr connection="Provider=Microsoft.Mashup.OleDb.1;Data Source=$Workbook$;Location=Table_2__3;Extended Properties=&quot;&quot;" command="SELECT * FROM [Table_2__3]"/>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<sst xmlns="http://schemas.openxmlformats.org/spreadsheetml/2006/main" count="201" uniqueCount="55">
  <si>
    <t>Dates</t>
  </si>
  <si>
    <t>HUL</t>
  </si>
  <si>
    <t>SBI</t>
  </si>
  <si>
    <t>% Returns HUL</t>
  </si>
  <si>
    <t>% Returns SBI</t>
  </si>
  <si>
    <t>Mean</t>
  </si>
  <si>
    <t>Correlation</t>
  </si>
  <si>
    <t>Variance</t>
  </si>
  <si>
    <t>S.D.</t>
  </si>
  <si>
    <t>Portfolio</t>
  </si>
  <si>
    <t>Er</t>
  </si>
  <si>
    <t>SD</t>
  </si>
  <si>
    <t>Sharpe</t>
  </si>
  <si>
    <t>Risky Assets</t>
  </si>
  <si>
    <t>Risky</t>
  </si>
  <si>
    <t>Riskless</t>
  </si>
  <si>
    <t>Rp</t>
  </si>
  <si>
    <t>Portfolio Var</t>
  </si>
  <si>
    <t>Rf</t>
  </si>
  <si>
    <t>IndusInd</t>
  </si>
  <si>
    <t>Deepak Nitrite</t>
  </si>
  <si>
    <t>Jindal Steel</t>
  </si>
  <si>
    <t>%Returns</t>
  </si>
  <si>
    <t>Share Prices</t>
  </si>
  <si>
    <t>Scenarios</t>
  </si>
  <si>
    <t>Weight</t>
  </si>
  <si>
    <t>Variance Cov Matrix</t>
  </si>
  <si>
    <t>Portfolio Returns</t>
  </si>
  <si>
    <t>Portfolio Variance</t>
  </si>
  <si>
    <t>Sharpe Ratio</t>
  </si>
  <si>
    <t>MIN</t>
  </si>
  <si>
    <t>MAX</t>
  </si>
  <si>
    <t>Date</t>
  </si>
  <si>
    <t>Open</t>
  </si>
  <si>
    <t>High</t>
  </si>
  <si>
    <t>Low</t>
  </si>
  <si>
    <t>Close*</t>
  </si>
  <si>
    <t>Adj. close**</t>
  </si>
  <si>
    <t>Volume</t>
  </si>
  <si>
    <t>PORTFOLIO</t>
  </si>
  <si>
    <t>Stock Prices</t>
  </si>
  <si>
    <t>Monthly Returns</t>
  </si>
  <si>
    <t>DIFFERENT PORTFOLIO SCENARIOS</t>
  </si>
  <si>
    <t>Risk free rate</t>
  </si>
  <si>
    <t>Risk Free Asset</t>
  </si>
  <si>
    <t>PORTFOLIO SCENARIOS - RISKY &amp; RISKLESS ASSETS</t>
  </si>
  <si>
    <t>2-STOCK PORTFOLIO</t>
  </si>
  <si>
    <t>Ticker Name</t>
  </si>
  <si>
    <t>HINDUNILVR</t>
  </si>
  <si>
    <t>Year</t>
  </si>
  <si>
    <t>Start Date:</t>
  </si>
  <si>
    <t xml:space="preserve">Month </t>
  </si>
  <si>
    <t>Stock 1</t>
  </si>
  <si>
    <t>Stock 2</t>
  </si>
  <si>
    <t>SBIN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</si>
</sst>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4009]* #,##0.00_);_([$₹-4009]* \(#,##0.00\);_([$₹-4009]* &quot;-&quot;??_);_(@_)"/>
    <numFmt numFmtId="165" formatCode="0.0%"/>
    <numFmt numFmtId="166" formatCode="0.0000000"/>
  </numFmts>
  <fonts count="22" x14ac:knownFonts="1">
    <font>
      <sz val="11"/>
      <color theme="1"/>
      <name val="Corbel"/>
      <family val="2"/>
      <scheme val="minor"/>
    </font>
    <font>
      <sz val="11"/>
      <color theme="1"/>
      <name val="Corbel"/>
      <family val="2"/>
      <scheme val="minor"/>
    </font>
    <font>
      <b/>
      <sz val="11"/>
      <color theme="1"/>
      <name val="Corbel"/>
      <family val="2"/>
      <scheme val="minor"/>
    </font>
    <font>
      <i/>
      <sz val="11"/>
      <color theme="1"/>
      <name val="Corbel"/>
      <family val="2"/>
      <scheme val="minor"/>
    </font>
    <font>
      <b/>
      <sz val="24"/>
      <name val="Calibri"/>
      <family val="2"/>
    </font>
    <font>
      <sz val="11"/>
      <color theme="1"/>
      <name val="Calibri"/>
      <family val="2"/>
    </font>
    <font>
      <b/>
      <sz val="11"/>
      <color theme="1"/>
      <name val="Calibri"/>
      <family val="2"/>
    </font>
    <font>
      <i/>
      <sz val="11"/>
      <color theme="1"/>
      <name val="Calibri"/>
      <family val="2"/>
    </font>
    <font>
      <b/>
      <sz val="11"/>
      <name val="Calibri"/>
      <family val="2"/>
    </font>
    <font>
      <b/>
      <sz val="24"/>
      <color theme="0"/>
      <name val="Calibri"/>
      <family val="2"/>
    </font>
    <font>
      <b/>
      <sz val="14"/>
      <color theme="0"/>
      <name val="Calibri"/>
      <family val="2"/>
    </font>
    <font>
      <sz val="11"/>
      <color theme="0"/>
      <name val="Calibri"/>
      <family val="2"/>
    </font>
    <font>
      <b/>
      <sz val="11"/>
      <color theme="0"/>
      <name val="Calibri"/>
      <family val="2"/>
    </font>
    <font>
      <sz val="11"/>
      <color rgb="FFFFFF00"/>
      <name val="Calibri"/>
      <family val="2"/>
    </font>
    <font>
      <sz val="14"/>
      <color theme="1"/>
      <name val="Calibri"/>
      <family val="2"/>
    </font>
    <font>
      <b/>
      <sz val="14"/>
      <color theme="1"/>
      <name val="Calibri"/>
      <family val="2"/>
    </font>
    <font>
      <sz val="12"/>
      <color rgb="FF000000"/>
      <name val="Calibri"/>
      <family val="2"/>
    </font>
    <font>
      <sz val="11"/>
      <name val="Calibri"/>
      <family val="2"/>
    </font>
    <font>
      <b/>
      <sz val="12"/>
      <color theme="0"/>
      <name val="Calibri"/>
      <family val="2"/>
    </font>
    <font>
      <b/>
      <sz val="10"/>
      <color theme="0"/>
      <name val="Calibri"/>
      <family val="2"/>
    </font>
    <font>
      <b/>
      <sz val="13"/>
      <color theme="0"/>
      <name val="Calibri"/>
      <family val="2"/>
    </font>
    <font>
      <b/>
      <sz val="12.5"/>
      <color theme="0"/>
      <name val="Calibri"/>
      <family val="2"/>
    </font>
  </fonts>
  <fills count="11">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0"/>
        <bgColor indexed="64"/>
      </patternFill>
    </fill>
    <fill>
      <patternFill patternType="solid">
        <fgColor theme="4"/>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s>
  <borders count="45">
    <border>
      <left/>
      <right/>
      <top/>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style="medium">
        <color indexed="64"/>
      </right>
      <top style="medium">
        <color indexed="64"/>
      </top>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s>
  <cellStyleXfs count="2">
    <xf numFmtId="0" fontId="0" fillId="0" borderId="0"/>
    <xf numFmtId="9" fontId="1" fillId="0" borderId="0" applyFont="0" applyFill="0" applyBorder="0" applyAlignment="0" applyProtection="0"/>
  </cellStyleXfs>
  <cellXfs count="194">
    <xf numFmtId="0" fontId="0" fillId="0" borderId="0" xfId="0"/>
    <xf numFmtId="165" fontId="0" fillId="0" borderId="0" xfId="0" applyNumberFormat="1"/>
    <xf numFmtId="9" fontId="0" fillId="0" borderId="0" xfId="0" applyNumberFormat="1"/>
    <xf numFmtId="10" fontId="0" fillId="0" borderId="0" xfId="0" applyNumberFormat="1"/>
    <xf numFmtId="0" fontId="0" fillId="2" borderId="0" xfId="0" applyFill="1"/>
    <xf numFmtId="9" fontId="0" fillId="2" borderId="0" xfId="0" applyNumberFormat="1" applyFill="1"/>
    <xf numFmtId="2" fontId="0" fillId="0" borderId="0" xfId="0" applyNumberFormat="1"/>
    <xf numFmtId="0" fontId="0" fillId="0" borderId="0" xfId="0" applyAlignment="1">
      <alignment horizontal="center"/>
    </xf>
    <xf numFmtId="2" fontId="0" fillId="0" borderId="0" xfId="0" applyNumberFormat="1" applyAlignment="1">
      <alignment horizontal="center"/>
    </xf>
    <xf numFmtId="0" fontId="2" fillId="3" borderId="0" xfId="0" applyFont="1" applyFill="1" applyAlignment="1">
      <alignment horizontal="center"/>
    </xf>
    <xf numFmtId="9" fontId="0" fillId="0" borderId="0" xfId="0" applyNumberFormat="1" applyAlignment="1">
      <alignment horizontal="center"/>
    </xf>
    <xf numFmtId="165" fontId="0" fillId="0" borderId="0" xfId="1" applyNumberFormat="1" applyFont="1" applyAlignment="1">
      <alignment horizontal="center"/>
    </xf>
    <xf numFmtId="10" fontId="0" fillId="0" borderId="0" xfId="1" applyNumberFormat="1" applyFont="1" applyAlignment="1">
      <alignment horizontal="center"/>
    </xf>
    <xf numFmtId="15" fontId="0" fillId="0" borderId="0" xfId="0" applyNumberFormat="1" applyAlignment="1">
      <alignment horizontal="center"/>
    </xf>
    <xf numFmtId="165" fontId="0" fillId="0" borderId="0" xfId="0" applyNumberFormat="1" applyAlignment="1">
      <alignment horizontal="center"/>
    </xf>
    <xf numFmtId="0" fontId="0" fillId="2" borderId="0" xfId="0" applyFill="1" applyAlignment="1">
      <alignment horizontal="center"/>
    </xf>
    <xf numFmtId="9" fontId="0" fillId="2" borderId="0" xfId="0" applyNumberFormat="1" applyFill="1" applyAlignment="1">
      <alignment horizontal="center"/>
    </xf>
    <xf numFmtId="165" fontId="0" fillId="2" borderId="0" xfId="0" applyNumberFormat="1" applyFill="1" applyAlignment="1">
      <alignment horizontal="center"/>
    </xf>
    <xf numFmtId="165" fontId="0" fillId="2" borderId="0" xfId="1" applyNumberFormat="1" applyFont="1" applyFill="1" applyAlignment="1">
      <alignment horizontal="center"/>
    </xf>
    <xf numFmtId="0" fontId="2" fillId="0" borderId="0" xfId="0" applyFont="1"/>
    <xf numFmtId="0" fontId="2" fillId="4" borderId="2" xfId="0" applyFont="1" applyFill="1" applyBorder="1"/>
    <xf numFmtId="0" fontId="2" fillId="0" borderId="4" xfId="0" applyFont="1" applyBorder="1"/>
    <xf numFmtId="0" fontId="2" fillId="0" borderId="0" xfId="0" applyFont="1" applyBorder="1"/>
    <xf numFmtId="0" fontId="2" fillId="0" borderId="5" xfId="0" applyFont="1" applyBorder="1"/>
    <xf numFmtId="15" fontId="0" fillId="0" borderId="4" xfId="0" applyNumberFormat="1" applyBorder="1" applyAlignment="1">
      <alignment horizontal="center"/>
    </xf>
    <xf numFmtId="0" fontId="0" fillId="0" borderId="0" xfId="0" applyBorder="1" applyAlignment="1">
      <alignment horizontal="center"/>
    </xf>
    <xf numFmtId="0" fontId="0" fillId="0" borderId="0" xfId="0" applyBorder="1"/>
    <xf numFmtId="0" fontId="0" fillId="0" borderId="5" xfId="0" applyBorder="1"/>
    <xf numFmtId="10" fontId="0" fillId="0" borderId="0" xfId="1" applyNumberFormat="1" applyFont="1" applyBorder="1"/>
    <xf numFmtId="10" fontId="0" fillId="0" borderId="5" xfId="1" applyNumberFormat="1" applyFont="1" applyBorder="1"/>
    <xf numFmtId="15" fontId="0" fillId="0" borderId="6" xfId="0" applyNumberFormat="1" applyBorder="1" applyAlignment="1">
      <alignment horizontal="center"/>
    </xf>
    <xf numFmtId="0" fontId="0" fillId="0" borderId="7" xfId="0" applyBorder="1" applyAlignment="1">
      <alignment horizontal="center"/>
    </xf>
    <xf numFmtId="0" fontId="0" fillId="0" borderId="7" xfId="0" applyBorder="1"/>
    <xf numFmtId="10" fontId="0" fillId="0" borderId="7" xfId="1" applyNumberFormat="1" applyFont="1" applyBorder="1"/>
    <xf numFmtId="10" fontId="0" fillId="0" borderId="8" xfId="1" applyNumberFormat="1" applyFont="1" applyBorder="1"/>
    <xf numFmtId="0" fontId="0" fillId="0" borderId="0" xfId="0" applyFill="1" applyBorder="1" applyAlignment="1"/>
    <xf numFmtId="0" fontId="0" fillId="0" borderId="7" xfId="0" applyFill="1" applyBorder="1" applyAlignment="1"/>
    <xf numFmtId="0" fontId="3" fillId="0" borderId="12" xfId="0" applyFont="1" applyFill="1" applyBorder="1" applyAlignment="1">
      <alignment horizontal="center"/>
    </xf>
    <xf numFmtId="15" fontId="0" fillId="0" borderId="0" xfId="0" applyNumberFormat="1" applyBorder="1" applyAlignment="1">
      <alignment horizontal="center"/>
    </xf>
    <xf numFmtId="2" fontId="0" fillId="2" borderId="0" xfId="0" applyNumberFormat="1" applyFill="1"/>
    <xf numFmtId="14" fontId="0" fillId="0" borderId="0" xfId="0" applyNumberFormat="1"/>
    <xf numFmtId="0" fontId="5" fillId="0" borderId="0" xfId="0" applyFont="1"/>
    <xf numFmtId="0" fontId="6" fillId="0" borderId="0" xfId="0" applyFont="1"/>
    <xf numFmtId="0" fontId="6" fillId="4" borderId="24" xfId="0" applyFont="1" applyFill="1" applyBorder="1"/>
    <xf numFmtId="0" fontId="6" fillId="0" borderId="4" xfId="0" applyFont="1" applyBorder="1"/>
    <xf numFmtId="0" fontId="6" fillId="0" borderId="0" xfId="0" applyFont="1" applyBorder="1"/>
    <xf numFmtId="0" fontId="6" fillId="0" borderId="5" xfId="0" applyFont="1" applyBorder="1"/>
    <xf numFmtId="0" fontId="7" fillId="0" borderId="19" xfId="0" applyFont="1" applyFill="1" applyBorder="1" applyAlignment="1">
      <alignment horizontal="center"/>
    </xf>
    <xf numFmtId="0" fontId="7" fillId="0" borderId="12" xfId="0" applyFont="1" applyFill="1" applyBorder="1" applyAlignment="1">
      <alignment horizontal="center"/>
    </xf>
    <xf numFmtId="0" fontId="7" fillId="0" borderId="20" xfId="0" applyFont="1" applyFill="1" applyBorder="1" applyAlignment="1">
      <alignment horizontal="center"/>
    </xf>
    <xf numFmtId="15" fontId="5" fillId="0" borderId="4" xfId="0" applyNumberFormat="1" applyFont="1" applyBorder="1" applyAlignment="1">
      <alignment horizontal="center"/>
    </xf>
    <xf numFmtId="0" fontId="5" fillId="5" borderId="0" xfId="0" applyFont="1" applyFill="1" applyBorder="1" applyAlignment="1">
      <alignment horizontal="center"/>
    </xf>
    <xf numFmtId="0" fontId="5" fillId="5" borderId="0" xfId="0" applyFont="1" applyFill="1" applyBorder="1"/>
    <xf numFmtId="0" fontId="5" fillId="0" borderId="0" xfId="0" applyFont="1" applyBorder="1"/>
    <xf numFmtId="0" fontId="5" fillId="0" borderId="5" xfId="0" applyFont="1" applyBorder="1"/>
    <xf numFmtId="0" fontId="5" fillId="0" borderId="4" xfId="0" applyFont="1" applyFill="1" applyBorder="1" applyAlignment="1"/>
    <xf numFmtId="0" fontId="5" fillId="0" borderId="0" xfId="0" applyFont="1" applyFill="1" applyBorder="1" applyAlignment="1"/>
    <xf numFmtId="0" fontId="5" fillId="0" borderId="5" xfId="0" applyFont="1" applyFill="1" applyBorder="1" applyAlignment="1"/>
    <xf numFmtId="10" fontId="5" fillId="0" borderId="0" xfId="1" applyNumberFormat="1" applyFont="1" applyBorder="1"/>
    <xf numFmtId="10" fontId="5" fillId="0" borderId="5" xfId="1" applyNumberFormat="1" applyFont="1" applyBorder="1"/>
    <xf numFmtId="0" fontId="5" fillId="0" borderId="6" xfId="0" applyFont="1" applyFill="1" applyBorder="1" applyAlignment="1"/>
    <xf numFmtId="0" fontId="5" fillId="0" borderId="7" xfId="0" applyFont="1" applyFill="1" applyBorder="1" applyAlignment="1"/>
    <xf numFmtId="0" fontId="5" fillId="0" borderId="8" xfId="0" applyFont="1" applyFill="1" applyBorder="1" applyAlignment="1"/>
    <xf numFmtId="0" fontId="5" fillId="0" borderId="16" xfId="0" applyFont="1" applyBorder="1"/>
    <xf numFmtId="0" fontId="5" fillId="0" borderId="17" xfId="0" applyFont="1" applyBorder="1"/>
    <xf numFmtId="0" fontId="5" fillId="0" borderId="18" xfId="0" applyFont="1" applyBorder="1"/>
    <xf numFmtId="10" fontId="5" fillId="0" borderId="6" xfId="0" applyNumberFormat="1" applyFont="1" applyBorder="1"/>
    <xf numFmtId="10" fontId="5" fillId="0" borderId="7" xfId="0" applyNumberFormat="1" applyFont="1" applyBorder="1"/>
    <xf numFmtId="9" fontId="5" fillId="0" borderId="7" xfId="0" applyNumberFormat="1" applyFont="1" applyBorder="1"/>
    <xf numFmtId="9" fontId="5" fillId="0" borderId="8" xfId="0" applyNumberFormat="1" applyFont="1" applyBorder="1"/>
    <xf numFmtId="15" fontId="5" fillId="0" borderId="6" xfId="0" applyNumberFormat="1" applyFont="1" applyBorder="1" applyAlignment="1">
      <alignment horizontal="center"/>
    </xf>
    <xf numFmtId="0" fontId="5" fillId="5" borderId="7" xfId="0" applyFont="1" applyFill="1" applyBorder="1" applyAlignment="1">
      <alignment horizontal="center"/>
    </xf>
    <xf numFmtId="0" fontId="5" fillId="5" borderId="7" xfId="0" applyFont="1" applyFill="1" applyBorder="1"/>
    <xf numFmtId="10" fontId="5" fillId="0" borderId="7" xfId="1" applyNumberFormat="1" applyFont="1" applyBorder="1"/>
    <xf numFmtId="10" fontId="5" fillId="0" borderId="8" xfId="1" applyNumberFormat="1" applyFont="1" applyBorder="1"/>
    <xf numFmtId="15" fontId="5" fillId="0" borderId="0" xfId="0" applyNumberFormat="1" applyFont="1" applyBorder="1" applyAlignment="1">
      <alignment horizontal="center"/>
    </xf>
    <xf numFmtId="0" fontId="5" fillId="0" borderId="21" xfId="0" applyFont="1" applyBorder="1"/>
    <xf numFmtId="9" fontId="5" fillId="0" borderId="17" xfId="0" applyNumberFormat="1" applyFont="1" applyBorder="1"/>
    <xf numFmtId="10" fontId="5" fillId="0" borderId="17" xfId="0" applyNumberFormat="1" applyFont="1" applyBorder="1"/>
    <xf numFmtId="9" fontId="5" fillId="0" borderId="18" xfId="0" applyNumberFormat="1" applyFont="1" applyBorder="1"/>
    <xf numFmtId="0" fontId="5" fillId="0" borderId="22" xfId="0" applyFont="1" applyBorder="1"/>
    <xf numFmtId="9" fontId="5" fillId="0" borderId="0" xfId="0" applyNumberFormat="1" applyFont="1" applyBorder="1"/>
    <xf numFmtId="165" fontId="5" fillId="0" borderId="0" xfId="0" applyNumberFormat="1" applyFont="1" applyBorder="1"/>
    <xf numFmtId="9" fontId="5" fillId="0" borderId="5" xfId="0" applyNumberFormat="1" applyFont="1" applyBorder="1"/>
    <xf numFmtId="10" fontId="5" fillId="0" borderId="0" xfId="0" applyNumberFormat="1" applyFont="1" applyBorder="1"/>
    <xf numFmtId="0" fontId="5" fillId="0" borderId="23" xfId="0" applyFont="1" applyBorder="1"/>
    <xf numFmtId="0" fontId="5" fillId="0" borderId="7" xfId="0" applyFont="1" applyBorder="1"/>
    <xf numFmtId="166" fontId="5" fillId="0" borderId="7" xfId="0" applyNumberFormat="1" applyFont="1" applyBorder="1"/>
    <xf numFmtId="0" fontId="5" fillId="0" borderId="8" xfId="0" applyFont="1" applyBorder="1"/>
    <xf numFmtId="2" fontId="5" fillId="2" borderId="18" xfId="0" applyNumberFormat="1" applyFont="1" applyFill="1" applyBorder="1"/>
    <xf numFmtId="0" fontId="5" fillId="2" borderId="18" xfId="0" applyFont="1" applyFill="1" applyBorder="1"/>
    <xf numFmtId="2" fontId="5" fillId="2" borderId="5" xfId="0" applyNumberFormat="1" applyFont="1" applyFill="1" applyBorder="1"/>
    <xf numFmtId="0" fontId="5" fillId="2" borderId="8" xfId="0" applyFont="1" applyFill="1" applyBorder="1"/>
    <xf numFmtId="10" fontId="5" fillId="2" borderId="18" xfId="0" applyNumberFormat="1" applyFont="1" applyFill="1" applyBorder="1"/>
    <xf numFmtId="2" fontId="5" fillId="0" borderId="8" xfId="0" applyNumberFormat="1" applyFont="1" applyBorder="1"/>
    <xf numFmtId="0" fontId="5" fillId="6" borderId="0" xfId="0" applyFont="1" applyFill="1" applyBorder="1" applyAlignment="1">
      <alignment horizontal="center"/>
    </xf>
    <xf numFmtId="165" fontId="5" fillId="6" borderId="0" xfId="1" applyNumberFormat="1" applyFont="1" applyFill="1" applyBorder="1" applyAlignment="1">
      <alignment horizontal="center"/>
    </xf>
    <xf numFmtId="0" fontId="5" fillId="0" borderId="0" xfId="0" applyFont="1" applyAlignment="1">
      <alignment horizontal="center"/>
    </xf>
    <xf numFmtId="0" fontId="6" fillId="8" borderId="30" xfId="0" applyFont="1" applyFill="1" applyBorder="1" applyAlignment="1">
      <alignment horizontal="center"/>
    </xf>
    <xf numFmtId="0" fontId="6" fillId="8" borderId="36" xfId="0" applyFont="1" applyFill="1" applyBorder="1" applyAlignment="1">
      <alignment horizontal="center"/>
    </xf>
    <xf numFmtId="0" fontId="6" fillId="8" borderId="32" xfId="0" applyFont="1" applyFill="1" applyBorder="1" applyAlignment="1">
      <alignment horizontal="center"/>
    </xf>
    <xf numFmtId="9" fontId="5" fillId="0" borderId="0" xfId="0" applyNumberFormat="1" applyFont="1" applyBorder="1" applyAlignment="1">
      <alignment horizontal="center"/>
    </xf>
    <xf numFmtId="2" fontId="5" fillId="0" borderId="0" xfId="0" applyNumberFormat="1" applyFont="1" applyBorder="1" applyAlignment="1">
      <alignment horizontal="center"/>
    </xf>
    <xf numFmtId="9" fontId="5" fillId="0" borderId="31" xfId="0" applyNumberFormat="1" applyFont="1" applyBorder="1" applyAlignment="1">
      <alignment horizontal="center"/>
    </xf>
    <xf numFmtId="165" fontId="5" fillId="0" borderId="33" xfId="0" applyNumberFormat="1" applyFont="1" applyBorder="1" applyAlignment="1">
      <alignment horizontal="center"/>
    </xf>
    <xf numFmtId="165" fontId="5" fillId="0" borderId="0" xfId="0" applyNumberFormat="1" applyFont="1" applyBorder="1" applyAlignment="1">
      <alignment horizontal="center"/>
    </xf>
    <xf numFmtId="0" fontId="5" fillId="6" borderId="0" xfId="0" applyFont="1" applyFill="1" applyAlignment="1">
      <alignment horizontal="center"/>
    </xf>
    <xf numFmtId="9" fontId="5" fillId="0" borderId="27" xfId="0" applyNumberFormat="1" applyFont="1" applyBorder="1" applyAlignment="1">
      <alignment horizontal="center"/>
    </xf>
    <xf numFmtId="165" fontId="5" fillId="0" borderId="34" xfId="0" applyNumberFormat="1" applyFont="1" applyBorder="1" applyAlignment="1">
      <alignment horizontal="center"/>
    </xf>
    <xf numFmtId="0" fontId="10" fillId="9" borderId="37" xfId="0" applyFont="1" applyFill="1" applyBorder="1" applyAlignment="1">
      <alignment horizontal="center" vertical="center"/>
    </xf>
    <xf numFmtId="0" fontId="12" fillId="9" borderId="0" xfId="0" applyFont="1" applyFill="1" applyBorder="1" applyAlignment="1">
      <alignment horizontal="center"/>
    </xf>
    <xf numFmtId="165" fontId="5" fillId="0" borderId="0" xfId="1" applyNumberFormat="1" applyFont="1" applyBorder="1" applyAlignment="1">
      <alignment horizontal="center"/>
    </xf>
    <xf numFmtId="9" fontId="5" fillId="0" borderId="35" xfId="0" applyNumberFormat="1" applyFont="1" applyBorder="1" applyAlignment="1">
      <alignment horizontal="center"/>
    </xf>
    <xf numFmtId="165" fontId="5" fillId="0" borderId="27" xfId="0" applyNumberFormat="1" applyFont="1" applyBorder="1" applyAlignment="1">
      <alignment horizontal="center"/>
    </xf>
    <xf numFmtId="0" fontId="5" fillId="0" borderId="0" xfId="0" applyFont="1" applyFill="1" applyAlignment="1">
      <alignment horizontal="center"/>
    </xf>
    <xf numFmtId="17" fontId="6" fillId="6" borderId="0" xfId="0" applyNumberFormat="1" applyFont="1" applyFill="1" applyBorder="1" applyAlignment="1">
      <alignment horizontal="center"/>
    </xf>
    <xf numFmtId="0" fontId="5" fillId="0" borderId="0" xfId="0" applyFont="1" applyBorder="1" applyAlignment="1">
      <alignment horizontal="center"/>
    </xf>
    <xf numFmtId="0" fontId="8" fillId="8" borderId="28" xfId="0" applyFont="1" applyFill="1" applyBorder="1" applyAlignment="1">
      <alignment horizontal="center"/>
    </xf>
    <xf numFmtId="0" fontId="8" fillId="8" borderId="29" xfId="0" applyFont="1" applyFill="1" applyBorder="1" applyAlignment="1">
      <alignment horizontal="center"/>
    </xf>
    <xf numFmtId="164" fontId="5" fillId="6" borderId="0" xfId="0" applyNumberFormat="1" applyFont="1" applyFill="1" applyBorder="1" applyAlignment="1">
      <alignment horizontal="center"/>
    </xf>
    <xf numFmtId="0" fontId="11" fillId="0" borderId="0" xfId="0" applyFont="1" applyAlignment="1">
      <alignment horizontal="center"/>
    </xf>
    <xf numFmtId="165" fontId="5" fillId="8" borderId="0" xfId="1" applyNumberFormat="1" applyFont="1" applyFill="1" applyBorder="1" applyAlignment="1">
      <alignment horizontal="center"/>
    </xf>
    <xf numFmtId="0" fontId="8" fillId="8" borderId="38" xfId="0" applyFont="1" applyFill="1" applyBorder="1" applyAlignment="1">
      <alignment horizontal="center" vertical="center"/>
    </xf>
    <xf numFmtId="0" fontId="6" fillId="8" borderId="16" xfId="0" applyFont="1" applyFill="1" applyBorder="1" applyAlignment="1">
      <alignment horizontal="center"/>
    </xf>
    <xf numFmtId="9" fontId="5" fillId="0" borderId="17" xfId="0" applyNumberFormat="1" applyFont="1" applyBorder="1" applyAlignment="1">
      <alignment horizontal="center"/>
    </xf>
    <xf numFmtId="9" fontId="5" fillId="0" borderId="18" xfId="0" applyNumberFormat="1" applyFont="1" applyBorder="1" applyAlignment="1">
      <alignment horizontal="center"/>
    </xf>
    <xf numFmtId="0" fontId="6" fillId="8" borderId="4" xfId="0" applyFont="1" applyFill="1" applyBorder="1" applyAlignment="1">
      <alignment horizontal="center"/>
    </xf>
    <xf numFmtId="2" fontId="5" fillId="0" borderId="5" xfId="0" applyNumberFormat="1" applyFont="1" applyBorder="1" applyAlignment="1">
      <alignment horizontal="center"/>
    </xf>
    <xf numFmtId="0" fontId="11" fillId="9" borderId="4" xfId="0" applyFont="1" applyFill="1" applyBorder="1" applyAlignment="1">
      <alignment horizontal="center"/>
    </xf>
    <xf numFmtId="0" fontId="12" fillId="9" borderId="5" xfId="0" applyFont="1" applyFill="1" applyBorder="1" applyAlignment="1">
      <alignment horizontal="center"/>
    </xf>
    <xf numFmtId="165" fontId="5" fillId="0" borderId="5" xfId="0" applyNumberFormat="1" applyFont="1" applyBorder="1" applyAlignment="1">
      <alignment horizontal="center"/>
    </xf>
    <xf numFmtId="0" fontId="6" fillId="8" borderId="6" xfId="0" applyFont="1" applyFill="1" applyBorder="1" applyAlignment="1">
      <alignment horizontal="center"/>
    </xf>
    <xf numFmtId="9" fontId="5" fillId="0" borderId="7" xfId="0" applyNumberFormat="1" applyFont="1" applyBorder="1" applyAlignment="1">
      <alignment horizontal="center"/>
    </xf>
    <xf numFmtId="9" fontId="5" fillId="0" borderId="8" xfId="0" applyNumberFormat="1" applyFont="1" applyBorder="1" applyAlignment="1">
      <alignment horizontal="center"/>
    </xf>
    <xf numFmtId="165" fontId="5" fillId="0" borderId="17" xfId="0" applyNumberFormat="1" applyFont="1" applyBorder="1" applyAlignment="1">
      <alignment horizontal="center"/>
    </xf>
    <xf numFmtId="165" fontId="5" fillId="0" borderId="18" xfId="0" applyNumberFormat="1" applyFont="1" applyBorder="1" applyAlignment="1">
      <alignment horizontal="center"/>
    </xf>
    <xf numFmtId="165" fontId="5" fillId="0" borderId="5" xfId="1" applyNumberFormat="1" applyFont="1" applyBorder="1" applyAlignment="1">
      <alignment horizontal="center"/>
    </xf>
    <xf numFmtId="2" fontId="5" fillId="0" borderId="7" xfId="0" applyNumberFormat="1" applyFont="1" applyBorder="1" applyAlignment="1">
      <alignment horizontal="center"/>
    </xf>
    <xf numFmtId="0" fontId="5" fillId="0" borderId="8" xfId="0" applyFont="1" applyBorder="1" applyAlignment="1">
      <alignment horizontal="center"/>
    </xf>
    <xf numFmtId="0" fontId="6" fillId="8" borderId="39" xfId="0" applyFont="1" applyFill="1" applyBorder="1" applyAlignment="1">
      <alignment horizontal="center"/>
    </xf>
    <xf numFmtId="0" fontId="6" fillId="8" borderId="40" xfId="0" applyFont="1" applyFill="1" applyBorder="1" applyAlignment="1">
      <alignment horizontal="center"/>
    </xf>
    <xf numFmtId="9" fontId="5" fillId="0" borderId="6" xfId="0" applyNumberFormat="1" applyFont="1" applyFill="1" applyBorder="1" applyAlignment="1">
      <alignment horizontal="center"/>
    </xf>
    <xf numFmtId="9" fontId="5" fillId="0" borderId="7" xfId="0" applyNumberFormat="1" applyFont="1" applyFill="1" applyBorder="1" applyAlignment="1">
      <alignment horizontal="center"/>
    </xf>
    <xf numFmtId="165" fontId="5" fillId="0" borderId="7" xfId="0" applyNumberFormat="1" applyFont="1" applyFill="1" applyBorder="1" applyAlignment="1">
      <alignment horizontal="center"/>
    </xf>
    <xf numFmtId="165" fontId="5" fillId="0" borderId="8" xfId="0" applyNumberFormat="1" applyFont="1" applyFill="1" applyBorder="1" applyAlignment="1">
      <alignment horizontal="center"/>
    </xf>
    <xf numFmtId="0" fontId="10" fillId="9" borderId="16" xfId="0" applyFont="1" applyFill="1" applyBorder="1" applyAlignment="1">
      <alignment horizontal="center"/>
    </xf>
    <xf numFmtId="0" fontId="14" fillId="8" borderId="17" xfId="0" applyFont="1" applyFill="1" applyBorder="1" applyAlignment="1">
      <alignment horizontal="center"/>
    </xf>
    <xf numFmtId="0" fontId="14" fillId="8" borderId="41" xfId="0" applyFont="1" applyFill="1" applyBorder="1" applyAlignment="1">
      <alignment horizontal="center"/>
    </xf>
    <xf numFmtId="0" fontId="10" fillId="9" borderId="4" xfId="0" applyFont="1" applyFill="1" applyBorder="1" applyAlignment="1">
      <alignment horizontal="center"/>
    </xf>
    <xf numFmtId="0" fontId="10" fillId="9" borderId="6" xfId="0" applyFont="1" applyFill="1" applyBorder="1" applyAlignment="1">
      <alignment horizontal="center"/>
    </xf>
    <xf numFmtId="0" fontId="2" fillId="4" borderId="1" xfId="0" applyFont="1" applyFill="1" applyBorder="1" applyAlignment="1">
      <alignment horizontal="center"/>
    </xf>
    <xf numFmtId="0" fontId="2" fillId="4" borderId="3" xfId="0" applyFont="1" applyFill="1" applyBorder="1" applyAlignment="1">
      <alignment horizontal="center"/>
    </xf>
    <xf numFmtId="0" fontId="2" fillId="3" borderId="9" xfId="0" applyFont="1" applyFill="1" applyBorder="1" applyAlignment="1">
      <alignment horizontal="center"/>
    </xf>
    <xf numFmtId="0" fontId="2" fillId="3" borderId="10" xfId="0" applyFont="1" applyFill="1" applyBorder="1" applyAlignment="1">
      <alignment horizontal="center"/>
    </xf>
    <xf numFmtId="0" fontId="2" fillId="3" borderId="11" xfId="0" applyFont="1" applyFill="1" applyBorder="1" applyAlignment="1">
      <alignment horizontal="center"/>
    </xf>
    <xf numFmtId="0" fontId="0" fillId="0" borderId="13" xfId="0" applyFill="1" applyBorder="1" applyAlignment="1">
      <alignment horizontal="center"/>
    </xf>
    <xf numFmtId="0" fontId="10" fillId="9" borderId="38" xfId="0" applyFont="1" applyFill="1" applyBorder="1" applyAlignment="1">
      <alignment horizontal="center"/>
    </xf>
    <xf numFmtId="0" fontId="10" fillId="9" borderId="29" xfId="0" applyFont="1" applyFill="1" applyBorder="1" applyAlignment="1">
      <alignment horizontal="center"/>
    </xf>
    <xf numFmtId="14" fontId="15" fillId="0" borderId="28" xfId="0" applyNumberFormat="1" applyFont="1" applyBorder="1" applyAlignment="1">
      <alignment horizontal="center"/>
    </xf>
    <xf numFmtId="14" fontId="15" fillId="0" borderId="42" xfId="0" applyNumberFormat="1" applyFont="1" applyBorder="1" applyAlignment="1">
      <alignment horizontal="center"/>
    </xf>
    <xf numFmtId="0" fontId="6" fillId="4" borderId="25" xfId="0" applyFont="1" applyFill="1" applyBorder="1" applyAlignment="1">
      <alignment horizontal="center"/>
    </xf>
    <xf numFmtId="0" fontId="6" fillId="4" borderId="26" xfId="0" applyFont="1" applyFill="1" applyBorder="1" applyAlignment="1">
      <alignment horizontal="center"/>
    </xf>
    <xf numFmtId="0" fontId="5" fillId="0" borderId="14" xfId="0" applyFont="1" applyFill="1" applyBorder="1" applyAlignment="1">
      <alignment horizontal="center"/>
    </xf>
    <xf numFmtId="0" fontId="5" fillId="0" borderId="13" xfId="0" applyFont="1" applyFill="1" applyBorder="1" applyAlignment="1">
      <alignment horizontal="center"/>
    </xf>
    <xf numFmtId="0" fontId="5" fillId="0" borderId="15" xfId="0" applyFont="1" applyFill="1" applyBorder="1" applyAlignment="1">
      <alignment horizontal="center"/>
    </xf>
    <xf numFmtId="0" fontId="4" fillId="7" borderId="4" xfId="0" applyFont="1" applyFill="1" applyBorder="1" applyAlignment="1">
      <alignment horizontal="center"/>
    </xf>
    <xf numFmtId="0" fontId="4" fillId="7" borderId="0" xfId="0" applyFont="1" applyFill="1" applyBorder="1" applyAlignment="1">
      <alignment horizontal="center"/>
    </xf>
    <xf numFmtId="0" fontId="17" fillId="0" borderId="0" xfId="0" applyFont="1" applyAlignment="1">
      <alignment horizontal="center"/>
    </xf>
    <xf numFmtId="0" fontId="13" fillId="0" borderId="0" xfId="0" applyFont="1" applyFill="1" applyAlignment="1">
      <alignment horizontal="center"/>
    </xf>
    <xf numFmtId="17" fontId="8" fillId="6" borderId="0" xfId="0" applyNumberFormat="1" applyFont="1" applyFill="1" applyBorder="1" applyAlignment="1">
      <alignment horizontal="center"/>
    </xf>
    <xf numFmtId="164" fontId="17" fillId="6" borderId="0" xfId="0" applyNumberFormat="1" applyFont="1" applyFill="1" applyBorder="1" applyAlignment="1">
      <alignment horizontal="center"/>
    </xf>
    <xf numFmtId="165" fontId="17" fillId="6" borderId="0" xfId="1" applyNumberFormat="1" applyFont="1" applyFill="1" applyBorder="1" applyAlignment="1">
      <alignment horizontal="center"/>
    </xf>
    <xf numFmtId="0" fontId="17" fillId="6" borderId="0" xfId="0" applyFont="1" applyFill="1" applyBorder="1" applyAlignment="1">
      <alignment horizontal="center"/>
    </xf>
    <xf numFmtId="0" fontId="17" fillId="0" borderId="0" xfId="0" applyFont="1" applyFill="1" applyAlignment="1">
      <alignment horizontal="center"/>
    </xf>
    <xf numFmtId="17" fontId="8" fillId="0" borderId="0" xfId="0" applyNumberFormat="1" applyFont="1" applyFill="1" applyBorder="1" applyAlignment="1">
      <alignment horizontal="center"/>
    </xf>
    <xf numFmtId="0" fontId="17" fillId="0" borderId="0" xfId="0" applyFont="1" applyFill="1" applyBorder="1" applyAlignment="1">
      <alignment horizontal="center"/>
    </xf>
    <xf numFmtId="164" fontId="17" fillId="0" borderId="0" xfId="0" applyNumberFormat="1" applyFont="1" applyFill="1" applyBorder="1" applyAlignment="1">
      <alignment horizontal="center"/>
    </xf>
    <xf numFmtId="165" fontId="17" fillId="0" borderId="0" xfId="1" applyNumberFormat="1" applyFont="1" applyFill="1" applyBorder="1" applyAlignment="1">
      <alignment horizontal="center"/>
    </xf>
    <xf numFmtId="0" fontId="19" fillId="9" borderId="38" xfId="0" applyFont="1" applyFill="1" applyBorder="1" applyAlignment="1">
      <alignment horizontal="center" wrapText="1"/>
    </xf>
    <xf numFmtId="0" fontId="19" fillId="9" borderId="28" xfId="0" applyFont="1" applyFill="1" applyBorder="1" applyAlignment="1">
      <alignment horizontal="center" wrapText="1"/>
    </xf>
    <xf numFmtId="0" fontId="19" fillId="9" borderId="29" xfId="0" applyFont="1" applyFill="1" applyBorder="1" applyAlignment="1">
      <alignment horizontal="center" wrapText="1"/>
    </xf>
    <xf numFmtId="0" fontId="18" fillId="9" borderId="19" xfId="0" applyFont="1" applyFill="1" applyBorder="1" applyAlignment="1">
      <alignment horizontal="center"/>
    </xf>
    <xf numFmtId="0" fontId="18" fillId="9" borderId="12" xfId="0" applyFont="1" applyFill="1" applyBorder="1" applyAlignment="1">
      <alignment horizontal="center"/>
    </xf>
    <xf numFmtId="0" fontId="18" fillId="9" borderId="20" xfId="0" applyFont="1" applyFill="1" applyBorder="1" applyAlignment="1">
      <alignment horizontal="center"/>
    </xf>
    <xf numFmtId="0" fontId="20" fillId="9" borderId="28" xfId="0" applyFont="1" applyFill="1" applyBorder="1" applyAlignment="1">
      <alignment horizontal="center"/>
    </xf>
    <xf numFmtId="0" fontId="20" fillId="9" borderId="29" xfId="0" applyFont="1" applyFill="1" applyBorder="1" applyAlignment="1">
      <alignment horizontal="center"/>
    </xf>
    <xf numFmtId="0" fontId="21" fillId="9" borderId="38" xfId="0" applyFont="1" applyFill="1" applyBorder="1" applyAlignment="1">
      <alignment horizontal="center"/>
    </xf>
    <xf numFmtId="0" fontId="9" fillId="10" borderId="0" xfId="0" applyFont="1" applyFill="1" applyBorder="1" applyAlignment="1">
      <alignment horizontal="center" vertical="center"/>
    </xf>
    <xf numFmtId="0" fontId="15" fillId="8" borderId="28" xfId="0" applyFont="1" applyFill="1" applyBorder="1" applyAlignment="1" applyProtection="1">
      <alignment horizontal="center"/>
      <protection locked="0"/>
    </xf>
    <xf numFmtId="0" fontId="15" fillId="8" borderId="42" xfId="0" applyFont="1" applyFill="1" applyBorder="1" applyAlignment="1" applyProtection="1">
      <alignment horizontal="center"/>
      <protection locked="0"/>
    </xf>
    <xf numFmtId="0" fontId="15" fillId="8" borderId="28" xfId="0" applyFont="1" applyFill="1" applyBorder="1" applyAlignment="1" applyProtection="1">
      <alignment horizontal="center"/>
      <protection locked="0"/>
    </xf>
    <xf numFmtId="0" fontId="15" fillId="8" borderId="42" xfId="0" applyFont="1" applyFill="1" applyBorder="1" applyAlignment="1" applyProtection="1">
      <alignment horizontal="center"/>
      <protection locked="0"/>
    </xf>
    <xf numFmtId="0" fontId="15" fillId="8" borderId="43" xfId="0" applyFont="1" applyFill="1" applyBorder="1" applyAlignment="1" applyProtection="1">
      <alignment horizontal="center"/>
      <protection locked="0"/>
    </xf>
    <xf numFmtId="0" fontId="15" fillId="8" borderId="44" xfId="0" applyFont="1" applyFill="1" applyBorder="1" applyAlignment="1" applyProtection="1">
      <alignment horizontal="center"/>
      <protection locked="0"/>
    </xf>
  </cellXfs>
  <cellStyles count="2">
    <cellStyle name="Normal" xfId="0" builtinId="0"/>
    <cellStyle name="Percent" xfId="1" builtinId="5"/>
  </cellStyles>
  <dxfs count="10">
    <dxf>
      <font>
        <color theme="1"/>
      </font>
      <fill>
        <patternFill>
          <bgColor theme="9" tint="0.79998168889431442"/>
        </patternFill>
      </fill>
    </dxf>
    <dxf>
      <fill>
        <patternFill>
          <bgColor theme="9" tint="0.79998168889431442"/>
        </patternFill>
      </fill>
    </dxf>
    <dxf>
      <font>
        <color rgb="FF9C0006"/>
      </font>
      <fill>
        <patternFill>
          <bgColor rgb="FFFFC7CE"/>
        </patternFill>
      </fill>
    </dxf>
    <dxf>
      <font>
        <color theme="1"/>
      </font>
      <fill>
        <patternFill>
          <bgColor theme="9" tint="0.79998168889431442"/>
        </patternFill>
      </fill>
    </dxf>
    <dxf>
      <numFmt numFmtId="19" formatCode="dd/mm/yyyy"/>
    </dxf>
    <dxf>
      <numFmt numFmtId="19" formatCode="dd/mm/yyyy"/>
    </dxf>
    <dxf>
      <numFmt numFmtId="19" formatCode="dd/mm/yyyy"/>
    </dxf>
    <dxf>
      <numFmt numFmtId="19" formatCode="dd/mm/yyyy"/>
    </dxf>
    <dxf>
      <numFmt numFmtId="19" formatCode="dd/mm/yyyy"/>
    </dxf>
    <dxf>
      <numFmt numFmtId="19" formatCode="dd/mm/yyyy"/>
    </dxf>
  </dxfs>
  <tableStyles count="0" defaultTableStyle="TableStyleMedium2" defaultPivotStyle="PivotStyleLight16"/>
  <colors>
    <mruColors>
      <color rgb="FF66FF66"/>
      <color rgb="FFFFFFFF"/>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26" Type="http://schemas.microsoft.com/office/2017/06/relationships/rdSupportingPropertyBagStructure" Target="richData/rdsupportingpropertybagstructure.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17/06/relationships/rdArray" Target="richData/rdarray.xml"/><Relationship Id="rId10" Type="http://schemas.openxmlformats.org/officeDocument/2006/relationships/worksheet" Target="worksheets/sheet10.xml"/><Relationship Id="rId19" Type="http://schemas.openxmlformats.org/officeDocument/2006/relationships/connections" Target="connections.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microsoft.com/office/2017/06/relationships/richStyles" Target="richData/richStyles.xml"/><Relationship Id="rId30" Type="http://schemas.microsoft.com/office/2017/06/relationships/rdRichValueTypes" Target="richData/rdRichValueTyp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MVF</c:v>
          </c:tx>
          <c:spPr>
            <a:ln w="25400" cap="rnd">
              <a:noFill/>
              <a:round/>
            </a:ln>
            <a:effectLst/>
          </c:spPr>
          <c:marker>
            <c:symbol val="circle"/>
            <c:size val="5"/>
            <c:spPr>
              <a:solidFill>
                <a:schemeClr val="accent1"/>
              </a:solidFill>
              <a:ln w="9525">
                <a:solidFill>
                  <a:schemeClr val="accent1"/>
                </a:solidFill>
              </a:ln>
              <a:effectLst/>
            </c:spPr>
          </c:marker>
          <c:xVal>
            <c:numRef>
              <c:f>'2 stock'!$K$2:$K$14</c:f>
              <c:numCache>
                <c:formatCode>0.0%</c:formatCode>
                <c:ptCount val="13"/>
                <c:pt idx="0">
                  <c:v>0.13470922709474231</c:v>
                </c:pt>
                <c:pt idx="1">
                  <c:v>0.11920460523745688</c:v>
                </c:pt>
                <c:pt idx="2">
                  <c:v>0.1042868805756582</c:v>
                </c:pt>
                <c:pt idx="3">
                  <c:v>9.0247562380453561E-2</c:v>
                </c:pt>
                <c:pt idx="4">
                  <c:v>7.7565102179103076E-2</c:v>
                </c:pt>
                <c:pt idx="5">
                  <c:v>6.701433534344825E-2</c:v>
                </c:pt>
                <c:pt idx="6">
                  <c:v>5.9735673696897085E-2</c:v>
                </c:pt>
                <c:pt idx="7">
                  <c:v>5.6996787519550389E-2</c:v>
                </c:pt>
                <c:pt idx="8">
                  <c:v>5.9428699868867889E-2</c:v>
                </c:pt>
                <c:pt idx="9">
                  <c:v>6.6466235440919688E-2</c:v>
                </c:pt>
                <c:pt idx="10">
                  <c:v>7.6854434122568024E-2</c:v>
                </c:pt>
                <c:pt idx="11">
                  <c:v>8.9433221679312891E-2</c:v>
                </c:pt>
                <c:pt idx="12">
                  <c:v>0.1034062461392477</c:v>
                </c:pt>
              </c:numCache>
            </c:numRef>
          </c:xVal>
          <c:yVal>
            <c:numRef>
              <c:f>'2 stock'!$J$2:$J$14</c:f>
              <c:numCache>
                <c:formatCode>0.0%</c:formatCode>
                <c:ptCount val="13"/>
                <c:pt idx="0">
                  <c:v>6.7641801174040853E-2</c:v>
                </c:pt>
                <c:pt idx="1">
                  <c:v>6.1451268460207618E-2</c:v>
                </c:pt>
                <c:pt idx="2">
                  <c:v>5.5260735746374377E-2</c:v>
                </c:pt>
                <c:pt idx="3">
                  <c:v>4.9070203032541143E-2</c:v>
                </c:pt>
                <c:pt idx="4">
                  <c:v>4.2879670318707902E-2</c:v>
                </c:pt>
                <c:pt idx="5">
                  <c:v>3.6689137604874668E-2</c:v>
                </c:pt>
                <c:pt idx="6">
                  <c:v>3.049860489104143E-2</c:v>
                </c:pt>
                <c:pt idx="7">
                  <c:v>2.4308072177208193E-2</c:v>
                </c:pt>
                <c:pt idx="8">
                  <c:v>1.8117539463374958E-2</c:v>
                </c:pt>
                <c:pt idx="9">
                  <c:v>1.1927006749541712E-2</c:v>
                </c:pt>
                <c:pt idx="10">
                  <c:v>5.7364740357084849E-3</c:v>
                </c:pt>
                <c:pt idx="11">
                  <c:v>-4.5405867812475971E-4</c:v>
                </c:pt>
                <c:pt idx="12">
                  <c:v>-6.6445913919580026E-3</c:v>
                </c:pt>
              </c:numCache>
            </c:numRef>
          </c:yVal>
          <c:smooth val="0"/>
          <c:extLst>
            <c:ext xmlns:c16="http://schemas.microsoft.com/office/drawing/2014/chart" uri="{C3380CC4-5D6E-409C-BE32-E72D297353CC}">
              <c16:uniqueId val="{00000002-A141-4484-8178-28EC2CE53C76}"/>
            </c:ext>
          </c:extLst>
        </c:ser>
        <c:ser>
          <c:idx val="1"/>
          <c:order val="1"/>
          <c:tx>
            <c:v>Target</c:v>
          </c:tx>
          <c:spPr>
            <a:ln w="25400" cap="rnd">
              <a:noFill/>
              <a:round/>
            </a:ln>
            <a:effectLst/>
          </c:spPr>
          <c:marker>
            <c:symbol val="circle"/>
            <c:size val="5"/>
            <c:spPr>
              <a:solidFill>
                <a:schemeClr val="accent2"/>
              </a:solidFill>
              <a:ln w="9525">
                <a:solidFill>
                  <a:schemeClr val="accent2"/>
                </a:solidFill>
              </a:ln>
              <a:effectLst/>
            </c:spPr>
          </c:marker>
          <c:xVal>
            <c:numRef>
              <c:f>'2 stock'!$K$15</c:f>
              <c:numCache>
                <c:formatCode>0.0%</c:formatCode>
                <c:ptCount val="1"/>
                <c:pt idx="0">
                  <c:v>0.15061961135302521</c:v>
                </c:pt>
              </c:numCache>
            </c:numRef>
          </c:xVal>
          <c:yVal>
            <c:numRef>
              <c:f>'2 stock'!$J$15</c:f>
              <c:numCache>
                <c:formatCode>0.0%</c:formatCode>
                <c:ptCount val="1"/>
                <c:pt idx="0">
                  <c:v>7.3832333887874094E-2</c:v>
                </c:pt>
              </c:numCache>
            </c:numRef>
          </c:yVal>
          <c:smooth val="0"/>
          <c:extLst>
            <c:ext xmlns:c16="http://schemas.microsoft.com/office/drawing/2014/chart" uri="{C3380CC4-5D6E-409C-BE32-E72D297353CC}">
              <c16:uniqueId val="{00000003-A141-4484-8178-28EC2CE53C76}"/>
            </c:ext>
          </c:extLst>
        </c:ser>
        <c:dLbls>
          <c:showLegendKey val="0"/>
          <c:showVal val="0"/>
          <c:showCatName val="0"/>
          <c:showSerName val="0"/>
          <c:showPercent val="0"/>
          <c:showBubbleSize val="0"/>
        </c:dLbls>
        <c:axId val="989304991"/>
        <c:axId val="989306239"/>
      </c:scatterChart>
      <c:valAx>
        <c:axId val="989304991"/>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306239"/>
        <c:crosses val="autoZero"/>
        <c:crossBetween val="midCat"/>
      </c:valAx>
      <c:valAx>
        <c:axId val="98930623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304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'5 stock'!$C$35:$L$35</c:f>
              <c:numCache>
                <c:formatCode>General</c:formatCode>
                <c:ptCount val="10"/>
                <c:pt idx="0">
                  <c:v>6.2771772112804498E-3</c:v>
                </c:pt>
                <c:pt idx="1">
                  <c:v>7.3785727966032824E-3</c:v>
                </c:pt>
                <c:pt idx="2">
                  <c:v>9.5107637646437218E-3</c:v>
                </c:pt>
                <c:pt idx="3">
                  <c:v>1.0776618282609909E-2</c:v>
                </c:pt>
                <c:pt idx="4">
                  <c:v>1.0474817742458184E-2</c:v>
                </c:pt>
                <c:pt idx="5">
                  <c:v>9.0832169842517789E-3</c:v>
                </c:pt>
                <c:pt idx="6">
                  <c:v>8.1743482771568857E-3</c:v>
                </c:pt>
                <c:pt idx="7">
                  <c:v>7.0354189780580034E-3</c:v>
                </c:pt>
                <c:pt idx="8">
                  <c:v>6.3578657279384802E-3</c:v>
                </c:pt>
                <c:pt idx="9">
                  <c:v>7.4683585412996072E-3</c:v>
                </c:pt>
              </c:numCache>
            </c:numRef>
          </c:xVal>
          <c:yVal>
            <c:numRef>
              <c:f>'5 stock'!$C$34:$L$34</c:f>
              <c:numCache>
                <c:formatCode>General</c:formatCode>
                <c:ptCount val="10"/>
                <c:pt idx="0">
                  <c:v>6.521743457205563E-2</c:v>
                </c:pt>
                <c:pt idx="1">
                  <c:v>7.3978624670824403E-2</c:v>
                </c:pt>
                <c:pt idx="2">
                  <c:v>7.6328325730529598E-2</c:v>
                </c:pt>
                <c:pt idx="3">
                  <c:v>7.2311712497843211E-2</c:v>
                </c:pt>
                <c:pt idx="4">
                  <c:v>8.1835876088162632E-2</c:v>
                </c:pt>
                <c:pt idx="5">
                  <c:v>8.0865961251770244E-2</c:v>
                </c:pt>
                <c:pt idx="6">
                  <c:v>8.0797605221537103E-2</c:v>
                </c:pt>
                <c:pt idx="7">
                  <c:v>7.9045401646480856E-2</c:v>
                </c:pt>
                <c:pt idx="8">
                  <c:v>7.7632334254264038E-2</c:v>
                </c:pt>
                <c:pt idx="9">
                  <c:v>7.3233102989130133E-2</c:v>
                </c:pt>
              </c:numCache>
            </c:numRef>
          </c:yVal>
          <c:smooth val="0"/>
          <c:extLst>
            <c:ext xmlns:c16="http://schemas.microsoft.com/office/drawing/2014/chart" uri="{C3380CC4-5D6E-409C-BE32-E72D297353CC}">
              <c16:uniqueId val="{00000000-970F-436D-B135-C135F43F1477}"/>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'5 stock'!$C$26</c:f>
              <c:numCache>
                <c:formatCode>General</c:formatCode>
                <c:ptCount val="1"/>
                <c:pt idx="0">
                  <c:v>5.9395099772693322E-3</c:v>
                </c:pt>
              </c:numCache>
            </c:numRef>
          </c:xVal>
          <c:yVal>
            <c:numRef>
              <c:f>'5 stock'!$C$25</c:f>
              <c:numCache>
                <c:formatCode>General</c:formatCode>
                <c:ptCount val="1"/>
                <c:pt idx="0">
                  <c:v>8.2514311486828126E-2</c:v>
                </c:pt>
              </c:numCache>
            </c:numRef>
          </c:yVal>
          <c:smooth val="0"/>
          <c:extLst>
            <c:ext xmlns:c16="http://schemas.microsoft.com/office/drawing/2014/chart" uri="{C3380CC4-5D6E-409C-BE32-E72D297353CC}">
              <c16:uniqueId val="{00000002-970F-436D-B135-C135F43F1477}"/>
            </c:ext>
          </c:extLst>
        </c:ser>
        <c:dLbls>
          <c:showLegendKey val="0"/>
          <c:showVal val="0"/>
          <c:showCatName val="0"/>
          <c:showSerName val="0"/>
          <c:showPercent val="0"/>
          <c:showBubbleSize val="0"/>
        </c:dLbls>
        <c:axId val="1108056319"/>
        <c:axId val="1108052991"/>
      </c:scatterChart>
      <c:valAx>
        <c:axId val="11080563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052991"/>
        <c:crosses val="autoZero"/>
        <c:crossBetween val="midCat"/>
      </c:valAx>
      <c:valAx>
        <c:axId val="1108052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0563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r>
              <a:rPr lang="en-GB">
                <a:solidFill>
                  <a:sysClr val="windowText" lastClr="000000"/>
                </a:solidFill>
              </a:rPr>
              <a:t>MINIMUM VARIANCE FRONTIER</a:t>
            </a:r>
          </a:p>
        </c:rich>
      </c:tx>
      <c:overlay val="0"/>
      <c:spPr>
        <a:noFill/>
        <a:ln>
          <a:noFill/>
        </a:ln>
        <a:effectLst/>
      </c:spPr>
      <c:txPr>
        <a:bodyPr rot="0" spcFirstLastPara="1" vertOverflow="ellipsis" vert="horz" wrap="square" anchor="ctr" anchorCtr="1"/>
        <a:lstStyle/>
        <a:p>
          <a:pPr>
            <a:defRPr sz="1600" b="1" i="0" u="none" strike="noStrike" kern="1200" spc="100" baseline="0">
              <a:solidFill>
                <a:sysClr val="windowText" lastClr="000000"/>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scatterChart>
        <c:scatterStyle val="smoothMarker"/>
        <c:varyColors val="0"/>
        <c:ser>
          <c:idx val="0"/>
          <c:order val="0"/>
          <c:tx>
            <c:v>MVF</c:v>
          </c:tx>
          <c:spPr>
            <a:ln w="9525" cap="rnd">
              <a:solidFill>
                <a:schemeClr val="accent1"/>
              </a:solidFill>
              <a:round/>
            </a:ln>
            <a:effectLst>
              <a:outerShdw blurRad="88900" dist="27940" dir="5400000" algn="ctr" rotWithShape="0">
                <a:srgbClr val="000000">
                  <a:alpha val="63000"/>
                </a:srgbClr>
              </a:outerShdw>
            </a:effectLst>
          </c:spPr>
          <c:marker>
            <c:symbol val="circle"/>
            <c:size val="6"/>
            <c:spPr>
              <a:solidFill>
                <a:srgbClr val="FFFF00"/>
              </a:solidFill>
              <a:ln w="9525" cap="rnd">
                <a:solidFill>
                  <a:schemeClr val="accent1">
                    <a:lumMod val="60000"/>
                    <a:lumOff val="40000"/>
                  </a:schemeClr>
                </a:solidFill>
                <a:round/>
              </a:ln>
              <a:effectLst/>
            </c:spPr>
          </c:marker>
          <c:xVal>
            <c:numRef>
              <c:f>'2 STOCKS PORTFOLIO '!$W$31:$W$41</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xVal>
          <c:yVal>
            <c:numRef>
              <c:f>'2 STOCKS PORTFOLIO '!$V$31:$V$41</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yVal>
          <c:smooth val="1"/>
          <c:extLst>
            <c:ext xmlns:c16="http://schemas.microsoft.com/office/drawing/2014/chart" uri="{C3380CC4-5D6E-409C-BE32-E72D297353CC}">
              <c16:uniqueId val="{00000002-4BD6-481E-B824-4129B4D06970}"/>
            </c:ext>
          </c:extLst>
        </c:ser>
        <c:ser>
          <c:idx val="1"/>
          <c:order val="1"/>
          <c:tx>
            <c:v>Target</c:v>
          </c:tx>
          <c:spPr>
            <a:ln w="9525" cap="rnd">
              <a:solidFill>
                <a:schemeClr val="accent6">
                  <a:lumMod val="50000"/>
                </a:schemeClr>
              </a:solidFill>
              <a:round/>
            </a:ln>
            <a:effectLst>
              <a:outerShdw blurRad="88900" dist="27940" dir="5400000" algn="ctr" rotWithShape="0">
                <a:srgbClr val="000000">
                  <a:alpha val="63000"/>
                </a:srgbClr>
              </a:outerShdw>
            </a:effectLst>
          </c:spPr>
          <c:marker>
            <c:symbol val="circle"/>
            <c:size val="6"/>
            <c:spPr>
              <a:solidFill>
                <a:schemeClr val="accent6">
                  <a:lumMod val="50000"/>
                </a:schemeClr>
              </a:solidFill>
              <a:ln w="9525" cap="rnd">
                <a:solidFill>
                  <a:schemeClr val="accent6">
                    <a:lumMod val="50000"/>
                  </a:schemeClr>
                </a:solidFill>
                <a:round/>
              </a:ln>
              <a:effectLst>
                <a:outerShdw blurRad="88900" dist="27940" dir="5400000" algn="ctr" rotWithShape="0">
                  <a:srgbClr val="000000">
                    <a:alpha val="63000"/>
                  </a:srgbClr>
                </a:outerShdw>
              </a:effectLst>
            </c:spPr>
          </c:marker>
          <c:xVal>
            <c:numRef>
              <c:f>'2 STOCKS PORTFOLIO '!$R$6</c:f>
              <c:numCache>
                <c:formatCode>0.0%</c:formatCode>
                <c:ptCount val="1"/>
                <c:pt idx="0">
                  <c:v>0</c:v>
                </c:pt>
              </c:numCache>
            </c:numRef>
          </c:xVal>
          <c:yVal>
            <c:numRef>
              <c:f>'2 STOCKS PORTFOLIO '!$Q$6</c:f>
              <c:numCache>
                <c:formatCode>0.0%</c:formatCode>
                <c:ptCount val="1"/>
                <c:pt idx="0">
                  <c:v>0</c:v>
                </c:pt>
              </c:numCache>
            </c:numRef>
          </c:yVal>
          <c:smooth val="1"/>
          <c:extLst>
            <c:ext xmlns:c16="http://schemas.microsoft.com/office/drawing/2014/chart" uri="{C3380CC4-5D6E-409C-BE32-E72D297353CC}">
              <c16:uniqueId val="{00000003-4BD6-481E-B824-4129B4D06970}"/>
            </c:ext>
          </c:extLst>
        </c:ser>
        <c:ser>
          <c:idx val="2"/>
          <c:order val="2"/>
          <c:tx>
            <c:v>CAL</c:v>
          </c:tx>
          <c:spPr>
            <a:ln w="9525" cap="rnd">
              <a:solidFill>
                <a:schemeClr val="accent3"/>
              </a:solidFill>
              <a:round/>
            </a:ln>
            <a:effectLst>
              <a:outerShdw blurRad="88900" dist="27940" dir="5400000" algn="ctr" rotWithShape="0">
                <a:srgbClr val="000000">
                  <a:alpha val="63000"/>
                </a:srgbClr>
              </a:outerShdw>
            </a:effectLst>
          </c:spPr>
          <c:marker>
            <c:symbol val="circle"/>
            <c:size val="6"/>
            <c:spPr>
              <a:solidFill>
                <a:schemeClr val="accent6">
                  <a:lumMod val="60000"/>
                  <a:lumOff val="40000"/>
                </a:schemeClr>
              </a:solidFill>
              <a:ln w="9525" cap="rnd">
                <a:solidFill>
                  <a:schemeClr val="accent6">
                    <a:lumMod val="40000"/>
                    <a:lumOff val="60000"/>
                  </a:schemeClr>
                </a:solidFill>
                <a:round/>
              </a:ln>
              <a:effectLst/>
            </c:spPr>
          </c:marker>
          <c:xVal>
            <c:numRef>
              <c:f>'2 STOCKS PORTFOLIO '!$W$6:$W$27</c:f>
              <c:numCache>
                <c:formatCode>0.0%</c:formatCode>
                <c:ptCount val="22"/>
                <c:pt idx="0">
                  <c:v>0</c:v>
                </c:pt>
                <c:pt idx="1">
                  <c:v>0</c:v>
                </c:pt>
                <c:pt idx="2">
                  <c:v>0</c:v>
                </c:pt>
                <c:pt idx="3">
                  <c:v>0</c:v>
                </c:pt>
                <c:pt idx="4">
                  <c:v>0</c:v>
                </c:pt>
                <c:pt idx="5">
                  <c:v>0</c:v>
                </c:pt>
                <c:pt idx="6">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xVal>
          <c:yVal>
            <c:numRef>
              <c:f>'2 STOCKS PORTFOLIO '!$V$6:$V$27</c:f>
              <c:numCache>
                <c:formatCode>0.0%</c:formatCode>
                <c:ptCount val="22"/>
                <c:pt idx="0">
                  <c:v>0</c:v>
                </c:pt>
                <c:pt idx="1">
                  <c:v>0</c:v>
                </c:pt>
                <c:pt idx="2">
                  <c:v>0</c:v>
                </c:pt>
                <c:pt idx="3">
                  <c:v>0</c:v>
                </c:pt>
                <c:pt idx="4">
                  <c:v>0</c:v>
                </c:pt>
                <c:pt idx="5">
                  <c:v>0</c:v>
                </c:pt>
                <c:pt idx="6">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numCache>
            </c:numRef>
          </c:yVal>
          <c:smooth val="1"/>
          <c:extLst>
            <c:ext xmlns:c16="http://schemas.microsoft.com/office/drawing/2014/chart" uri="{C3380CC4-5D6E-409C-BE32-E72D297353CC}">
              <c16:uniqueId val="{00000004-4BD6-481E-B824-4129B4D06970}"/>
            </c:ext>
          </c:extLst>
        </c:ser>
        <c:dLbls>
          <c:showLegendKey val="0"/>
          <c:showVal val="0"/>
          <c:showCatName val="0"/>
          <c:showSerName val="0"/>
          <c:showPercent val="0"/>
          <c:showBubbleSize val="0"/>
        </c:dLbls>
        <c:axId val="1991900800"/>
        <c:axId val="1991915360"/>
      </c:scatterChart>
      <c:valAx>
        <c:axId val="1991900800"/>
        <c:scaling>
          <c:orientation val="minMax"/>
          <c:max val="0.30000000000000004"/>
        </c:scaling>
        <c:delete val="0"/>
        <c:axPos val="b"/>
        <c:majorGridlines>
          <c:spPr>
            <a:ln w="9525" cap="flat" cmpd="sng" algn="ctr">
              <a:solidFill>
                <a:schemeClr val="lt1">
                  <a:lumMod val="95000"/>
                  <a:alpha val="10000"/>
                </a:schemeClr>
              </a:solidFill>
              <a:round/>
            </a:ln>
            <a:effectLst/>
          </c:spPr>
        </c:majorGridlines>
        <c:numFmt formatCode="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90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1991915360"/>
        <c:crosses val="autoZero"/>
        <c:crossBetween val="midCat"/>
      </c:valAx>
      <c:valAx>
        <c:axId val="1991915360"/>
        <c:scaling>
          <c:orientation val="minMax"/>
        </c:scaling>
        <c:delete val="0"/>
        <c:axPos val="l"/>
        <c:majorGridlines>
          <c:spPr>
            <a:ln w="9525" cap="flat" cmpd="sng" algn="ctr">
              <a:solidFill>
                <a:schemeClr val="bg1">
                  <a:lumMod val="85000"/>
                </a:schemeClr>
              </a:solidFill>
              <a:prstDash val="solid"/>
              <a:round/>
            </a:ln>
            <a:effectLst/>
          </c:spPr>
        </c:majorGridlines>
        <c:numFmt formatCode="0.0%" sourceLinked="1"/>
        <c:majorTickMark val="none"/>
        <c:minorTickMark val="none"/>
        <c:tickLblPos val="nextTo"/>
        <c:spPr>
          <a:noFill/>
          <a:ln w="9525" cap="flat" cmpd="sng" algn="ctr">
            <a:solidFill>
              <a:schemeClr val="lt1">
                <a:lumMod val="50000"/>
              </a:schemeClr>
            </a:solidFill>
          </a:ln>
          <a:effectLst/>
        </c:spPr>
        <c:txPr>
          <a:bodyPr rot="-60000000" spcFirstLastPara="1" vertOverflow="ellipsis" vert="horz" wrap="square" anchor="ctr" anchorCtr="1"/>
          <a:lstStyle/>
          <a:p>
            <a:pPr>
              <a:defRPr sz="1000" b="1"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crossAx val="19919008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Calibri" panose="020F0502020204030204" pitchFamily="34" charset="0"/>
              <a:ea typeface="+mn-ea"/>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a:solidFill>
        <a:schemeClr val="tx1">
          <a:lumMod val="50000"/>
          <a:lumOff val="50000"/>
        </a:schemeClr>
      </a:solid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MVF</c:v>
          </c:tx>
          <c:spPr>
            <a:ln w="25400" cap="rnd">
              <a:noFill/>
              <a:round/>
            </a:ln>
            <a:effectLst/>
          </c:spPr>
          <c:marker>
            <c:symbol val="circle"/>
            <c:size val="5"/>
            <c:spPr>
              <a:solidFill>
                <a:schemeClr val="accent1"/>
              </a:solidFill>
              <a:ln w="9525">
                <a:solidFill>
                  <a:schemeClr val="accent1"/>
                </a:solidFill>
              </a:ln>
              <a:effectLst/>
            </c:spPr>
          </c:marker>
          <c:xVal>
            <c:numRef>
              <c:f>'2 stock (verf.)'!$K$2:$K$14</c:f>
              <c:numCache>
                <c:formatCode>0.0%</c:formatCode>
                <c:ptCount val="13"/>
                <c:pt idx="0">
                  <c:v>0.13470922709474231</c:v>
                </c:pt>
                <c:pt idx="1">
                  <c:v>0.11920460523745688</c:v>
                </c:pt>
                <c:pt idx="2">
                  <c:v>0.1042868805756582</c:v>
                </c:pt>
                <c:pt idx="3">
                  <c:v>9.0247562380453561E-2</c:v>
                </c:pt>
                <c:pt idx="4">
                  <c:v>7.7565102179103076E-2</c:v>
                </c:pt>
                <c:pt idx="5">
                  <c:v>6.701433534344825E-2</c:v>
                </c:pt>
                <c:pt idx="6">
                  <c:v>5.9735673696897085E-2</c:v>
                </c:pt>
                <c:pt idx="7">
                  <c:v>5.6996787519550389E-2</c:v>
                </c:pt>
                <c:pt idx="8">
                  <c:v>5.9428699868867889E-2</c:v>
                </c:pt>
                <c:pt idx="9">
                  <c:v>6.6466235440919688E-2</c:v>
                </c:pt>
                <c:pt idx="10">
                  <c:v>7.6854434122568024E-2</c:v>
                </c:pt>
                <c:pt idx="11">
                  <c:v>8.9433221679312891E-2</c:v>
                </c:pt>
                <c:pt idx="12">
                  <c:v>0.1034062461392477</c:v>
                </c:pt>
              </c:numCache>
            </c:numRef>
          </c:xVal>
          <c:yVal>
            <c:numRef>
              <c:f>'2 stock (verf.)'!$J$2:$J$14</c:f>
              <c:numCache>
                <c:formatCode>0.0%</c:formatCode>
                <c:ptCount val="13"/>
                <c:pt idx="0">
                  <c:v>7.144910049908669E-2</c:v>
                </c:pt>
                <c:pt idx="1">
                  <c:v>6.9065867110299273E-2</c:v>
                </c:pt>
                <c:pt idx="2">
                  <c:v>6.6682633721511869E-2</c:v>
                </c:pt>
                <c:pt idx="3">
                  <c:v>6.4299400332724466E-2</c:v>
                </c:pt>
                <c:pt idx="4">
                  <c:v>6.1916166943937048E-2</c:v>
                </c:pt>
                <c:pt idx="5">
                  <c:v>5.9532933555149638E-2</c:v>
                </c:pt>
                <c:pt idx="6">
                  <c:v>5.7149700166362227E-2</c:v>
                </c:pt>
                <c:pt idx="7">
                  <c:v>5.4766466777574824E-2</c:v>
                </c:pt>
                <c:pt idx="8">
                  <c:v>5.2383233388787413E-2</c:v>
                </c:pt>
                <c:pt idx="9">
                  <c:v>4.9999999999999996E-2</c:v>
                </c:pt>
                <c:pt idx="10">
                  <c:v>4.7616766611212592E-2</c:v>
                </c:pt>
                <c:pt idx="11">
                  <c:v>4.5233533222425182E-2</c:v>
                </c:pt>
                <c:pt idx="12">
                  <c:v>4.2850299833637771E-2</c:v>
                </c:pt>
              </c:numCache>
            </c:numRef>
          </c:yVal>
          <c:smooth val="0"/>
          <c:extLst>
            <c:ext xmlns:c16="http://schemas.microsoft.com/office/drawing/2014/chart" uri="{C3380CC4-5D6E-409C-BE32-E72D297353CC}">
              <c16:uniqueId val="{00000000-FAC9-4AB1-8FDA-DE3389D05F90}"/>
            </c:ext>
          </c:extLst>
        </c:ser>
        <c:ser>
          <c:idx val="1"/>
          <c:order val="1"/>
          <c:tx>
            <c:v>Target</c:v>
          </c:tx>
          <c:spPr>
            <a:ln w="25400" cap="rnd">
              <a:noFill/>
              <a:round/>
            </a:ln>
            <a:effectLst/>
          </c:spPr>
          <c:marker>
            <c:symbol val="circle"/>
            <c:size val="5"/>
            <c:spPr>
              <a:solidFill>
                <a:schemeClr val="accent2"/>
              </a:solidFill>
              <a:ln w="9525">
                <a:solidFill>
                  <a:schemeClr val="accent2"/>
                </a:solidFill>
              </a:ln>
              <a:effectLst/>
            </c:spPr>
          </c:marker>
          <c:xVal>
            <c:numRef>
              <c:f>'2 stock (verf.)'!$K$15</c:f>
              <c:numCache>
                <c:formatCode>0.0%</c:formatCode>
                <c:ptCount val="1"/>
                <c:pt idx="0">
                  <c:v>6.4569394838130068E-2</c:v>
                </c:pt>
              </c:numCache>
            </c:numRef>
          </c:xVal>
          <c:yVal>
            <c:numRef>
              <c:f>'2 stock (verf.)'!$J$15</c:f>
              <c:numCache>
                <c:formatCode>0.0%</c:formatCode>
                <c:ptCount val="1"/>
                <c:pt idx="0">
                  <c:v>5.8859690644916411E-2</c:v>
                </c:pt>
              </c:numCache>
            </c:numRef>
          </c:yVal>
          <c:smooth val="0"/>
          <c:extLst>
            <c:ext xmlns:c16="http://schemas.microsoft.com/office/drawing/2014/chart" uri="{C3380CC4-5D6E-409C-BE32-E72D297353CC}">
              <c16:uniqueId val="{00000003-FAC9-4AB1-8FDA-DE3389D05F90}"/>
            </c:ext>
          </c:extLst>
        </c:ser>
        <c:dLbls>
          <c:showLegendKey val="0"/>
          <c:showVal val="0"/>
          <c:showCatName val="0"/>
          <c:showSerName val="0"/>
          <c:showPercent val="0"/>
          <c:showBubbleSize val="0"/>
        </c:dLbls>
        <c:axId val="989304991"/>
        <c:axId val="989306239"/>
      </c:scatterChart>
      <c:valAx>
        <c:axId val="989304991"/>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306239"/>
        <c:crosses val="autoZero"/>
        <c:crossBetween val="midCat"/>
      </c:valAx>
      <c:valAx>
        <c:axId val="98930623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93049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'5 STOCKS'!$C$26:$I$26</c:f>
              <c:numCache>
                <c:formatCode>0.0000000</c:formatCode>
                <c:ptCount val="7"/>
                <c:pt idx="0" formatCode="General">
                  <c:v>5.000004750146168E-3</c:v>
                </c:pt>
                <c:pt idx="1">
                  <c:v>5.9400018486889857E-3</c:v>
                </c:pt>
                <c:pt idx="2" formatCode="General">
                  <c:v>2.7065439291059754E-3</c:v>
                </c:pt>
                <c:pt idx="3" formatCode="General">
                  <c:v>3.0009998330686048E-3</c:v>
                </c:pt>
                <c:pt idx="4" formatCode="General">
                  <c:v>3.0009994273465616E-3</c:v>
                </c:pt>
                <c:pt idx="5" formatCode="General">
                  <c:v>4.0009625558537192E-3</c:v>
                </c:pt>
                <c:pt idx="6" formatCode="General">
                  <c:v>4.0003439775016586E-3</c:v>
                </c:pt>
              </c:numCache>
            </c:numRef>
          </c:xVal>
          <c:yVal>
            <c:numRef>
              <c:f>'5 STOCKS'!$C$25:$I$25</c:f>
              <c:numCache>
                <c:formatCode>General</c:formatCode>
                <c:ptCount val="7"/>
                <c:pt idx="0">
                  <c:v>7.5200665747136408E-2</c:v>
                </c:pt>
                <c:pt idx="1">
                  <c:v>8.2517821764275759E-2</c:v>
                </c:pt>
                <c:pt idx="2">
                  <c:v>3.4951141410586702E-2</c:v>
                </c:pt>
                <c:pt idx="3">
                  <c:v>2.1359585253007268E-2</c:v>
                </c:pt>
                <c:pt idx="4">
                  <c:v>4.9713199074102654E-2</c:v>
                </c:pt>
                <c:pt idx="5">
                  <c:v>6.545567944075377E-2</c:v>
                </c:pt>
                <c:pt idx="6">
                  <c:v>3.6222544576311147E-2</c:v>
                </c:pt>
              </c:numCache>
            </c:numRef>
          </c:yVal>
          <c:smooth val="0"/>
          <c:extLst>
            <c:ext xmlns:c16="http://schemas.microsoft.com/office/drawing/2014/chart" uri="{C3380CC4-5D6E-409C-BE32-E72D297353CC}">
              <c16:uniqueId val="{00000000-9784-4B6B-B191-6E77B64F85B8}"/>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'5 STOCKS'!$G$29</c:f>
              <c:numCache>
                <c:formatCode>General</c:formatCode>
                <c:ptCount val="1"/>
                <c:pt idx="0">
                  <c:v>5.9395099772693322E-3</c:v>
                </c:pt>
              </c:numCache>
            </c:numRef>
          </c:xVal>
          <c:yVal>
            <c:numRef>
              <c:f>'5 STOCKS'!$G$28</c:f>
              <c:numCache>
                <c:formatCode>General</c:formatCode>
                <c:ptCount val="1"/>
                <c:pt idx="0">
                  <c:v>8.2514311486828126E-2</c:v>
                </c:pt>
              </c:numCache>
            </c:numRef>
          </c:yVal>
          <c:smooth val="0"/>
          <c:extLst>
            <c:ext xmlns:c16="http://schemas.microsoft.com/office/drawing/2014/chart" uri="{C3380CC4-5D6E-409C-BE32-E72D297353CC}">
              <c16:uniqueId val="{00000001-9784-4B6B-B191-6E77B64F85B8}"/>
            </c:ext>
          </c:extLst>
        </c:ser>
        <c:dLbls>
          <c:showLegendKey val="0"/>
          <c:showVal val="0"/>
          <c:showCatName val="0"/>
          <c:showSerName val="0"/>
          <c:showPercent val="0"/>
          <c:showBubbleSize val="0"/>
        </c:dLbls>
        <c:axId val="1108056319"/>
        <c:axId val="1108052991"/>
      </c:scatterChart>
      <c:valAx>
        <c:axId val="110805631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052991"/>
        <c:crosses val="autoZero"/>
        <c:crossBetween val="midCat"/>
      </c:valAx>
      <c:valAx>
        <c:axId val="11080529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08056319"/>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8">
  <cs:axisTitle>
    <cs:lnRef idx="0"/>
    <cs:fillRef idx="0"/>
    <cs:effectRef idx="0"/>
    <cs:fontRef idx="minor">
      <a:schemeClr val="lt1">
        <a:lumMod val="75000"/>
      </a:schemeClr>
    </cs:fontRef>
    <cs:defRPr sz="900" b="1" kern="1200" cap="all"/>
  </cs:axisTitle>
  <cs:categoryAxis>
    <cs:lnRef idx="0"/>
    <cs:fillRef idx="0"/>
    <cs:effectRef idx="0"/>
    <cs:fontRef idx="minor">
      <a:schemeClr val="lt1">
        <a:lumMod val="75000"/>
      </a:schemeClr>
    </cs:fontRef>
    <cs:spPr>
      <a:ln w="9525" cap="flat" cmpd="sng" algn="ctr">
        <a:solidFill>
          <a:schemeClr val="lt1">
            <a:lumMod val="50000"/>
          </a:schemeClr>
        </a:solidFill>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9525" cap="rnd">
        <a:solidFill>
          <a:schemeClr val="phClr"/>
        </a:solidFill>
        <a:round/>
      </a:ln>
    </cs:spPr>
  </cs:dataPointLine>
  <cs:dataPointMarker>
    <cs:lnRef idx="0">
      <cs:styleClr val="auto"/>
    </cs:lnRef>
    <cs:fillRef idx="3">
      <cs:styleClr val="auto"/>
    </cs:fillRef>
    <cs:effectRef idx="3"/>
    <cs:fontRef idx="minor">
      <a:schemeClr val="tx1"/>
    </cs:fontRef>
    <cs:spPr>
      <a:ln w="9525" cap="rnd">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spPr>
      <a:ln w="9525" cap="flat" cmpd="sng" algn="ctr">
        <a:solidFill>
          <a:schemeClr val="lt1">
            <a:lumMod val="50000"/>
          </a:schemeClr>
        </a:solidFill>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spPr>
      <a:ln w="9525" cap="flat" cmpd="sng" algn="ctr">
        <a:solidFill>
          <a:schemeClr val="lt1">
            <a:lumMod val="50000"/>
          </a:schemeClr>
        </a:solidFill>
      </a:ln>
    </cs:spPr>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504825</xdr:colOff>
      <xdr:row>18</xdr:row>
      <xdr:rowOff>19050</xdr:rowOff>
    </xdr:from>
    <xdr:to>
      <xdr:col>12</xdr:col>
      <xdr:colOff>549275</xdr:colOff>
      <xdr:row>33</xdr:row>
      <xdr:rowOff>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100264</xdr:colOff>
      <xdr:row>7</xdr:row>
      <xdr:rowOff>11141</xdr:rowOff>
    </xdr:from>
    <xdr:to>
      <xdr:col>22</xdr:col>
      <xdr:colOff>431132</xdr:colOff>
      <xdr:row>28</xdr:row>
      <xdr:rowOff>174013</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18</xdr:col>
      <xdr:colOff>9525</xdr:colOff>
      <xdr:row>28</xdr:row>
      <xdr:rowOff>9525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9525" y="0"/>
          <a:ext cx="12344400" cy="534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r>
            <a:rPr lang="en-GB" sz="1100" b="1" i="0" u="sng" strike="noStrike">
              <a:solidFill>
                <a:schemeClr val="dk1"/>
              </a:solidFill>
              <a:effectLst/>
              <a:latin typeface="Times New Roman" panose="02020603050405020304" pitchFamily="18" charset="0"/>
              <a:ea typeface="+mn-ea"/>
              <a:cs typeface="Times New Roman" panose="02020603050405020304" pitchFamily="18" charset="0"/>
            </a:rPr>
            <a:t>Efficient Frontier</a:t>
          </a:r>
          <a:endParaRPr lang="en-GB" b="0" i="0" u="sng">
            <a:effectLst/>
            <a:latin typeface="Times New Roman" panose="02020603050405020304" pitchFamily="18" charset="0"/>
            <a:cs typeface="Times New Roman" panose="02020603050405020304" pitchFamily="18" charset="0"/>
          </a:endParaRPr>
        </a:p>
        <a:p>
          <a:pPr rtl="0"/>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Efficient frontier  is the set of investment portfolios that offer the highest expected return for a specific level of risk. This frontier is formed by plotting the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hlinkClick xmlns:r="http://schemas.openxmlformats.org/officeDocument/2006/relationships" r:id="">
                <a:extLst>
                  <a:ext uri="{A12FA001-AC4F-418D-AE19-62706E023703}">
                    <ahyp:hlinkClr xmlns:ahyp="http://schemas.microsoft.com/office/drawing/2018/hyperlinkcolor" val="tx"/>
                  </a:ext>
                </a:extLst>
              </a:hlinkClick>
            </a:rPr>
            <a:t>expected return</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on the y-axis and the standard deviation as a measure of risk on the x-axis. It evinces the risk-and return trade-off of a portfolio. For building the frontier, there are three important factors to be taken into consideration:</a:t>
          </a:r>
          <a:endParaRPr lang="en-GB" b="0">
            <a:effectLst/>
            <a:latin typeface="Times New Roman" panose="02020603050405020304" pitchFamily="18" charset="0"/>
            <a:cs typeface="Times New Roman" panose="02020603050405020304" pitchFamily="18" charset="0"/>
          </a:endParaRPr>
        </a:p>
        <a:p>
          <a:pPr rtl="0" fontAlgn="base"/>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1. Expected return</a:t>
          </a:r>
        </a:p>
        <a:p>
          <a:pPr rtl="0" fontAlgn="base"/>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2. Variance/ Standard Deviation as a measure of the variability of returns also known as risk </a:t>
          </a:r>
        </a:p>
        <a:p>
          <a:pPr rtl="0" fontAlgn="base"/>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3. The covariance of one asset’s return to that of another asset</a:t>
          </a:r>
        </a:p>
        <a:p>
          <a:pPr rtl="0"/>
          <a:r>
            <a:rPr lang="en-GB" b="0">
              <a:effectLst/>
              <a:latin typeface="Times New Roman" panose="02020603050405020304" pitchFamily="18" charset="0"/>
              <a:cs typeface="Times New Roman" panose="02020603050405020304" pitchFamily="18" charset="0"/>
            </a:rPr>
            <a:t> </a:t>
          </a:r>
          <a:endParaRPr lang="en-GB" b="0" u="sng">
            <a:effectLst/>
            <a:latin typeface="Times New Roman" panose="02020603050405020304" pitchFamily="18" charset="0"/>
            <a:cs typeface="Times New Roman" panose="02020603050405020304" pitchFamily="18" charset="0"/>
          </a:endParaRPr>
        </a:p>
        <a:p>
          <a:pPr algn="ctr" rtl="0"/>
          <a:r>
            <a:rPr lang="en-GB" sz="1100" b="1" i="0" u="sng" strike="noStrike">
              <a:solidFill>
                <a:schemeClr val="dk1"/>
              </a:solidFill>
              <a:effectLst/>
              <a:latin typeface="Times New Roman" panose="02020603050405020304" pitchFamily="18" charset="0"/>
              <a:ea typeface="+mn-ea"/>
              <a:cs typeface="Times New Roman" panose="02020603050405020304" pitchFamily="18" charset="0"/>
            </a:rPr>
            <a:t>Terms Used</a:t>
          </a:r>
          <a:endParaRPr lang="en-GB" b="0" u="sng">
            <a:effectLst/>
            <a:latin typeface="Times New Roman" panose="02020603050405020304" pitchFamily="18" charset="0"/>
            <a:cs typeface="Times New Roman" panose="02020603050405020304" pitchFamily="18" charset="0"/>
          </a:endParaRP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1.  Portfolio variance</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It is a measure of a portfolio's overall risk and is the portfolio's standard deviation squared.</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2.  Variance</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covariance matrix</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It is a square </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matrix</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that contains the </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variances</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and </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covariances</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associated with stocks.</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3.  Sharpe Ratio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The ratio is the average return earned in excess of the risk-free rate per unit of volatility or total risk. Volatility is a measure of the price fluctuations of an asset or portfolio.</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4.  Risk Free Rate</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(Rf ) - The risk-free rate represents the interest an investor would expect from an absolutely risk-free investment over a specified period of time.</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5.  Expected return-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It is the amount of profit or loss an investor can anticipate receiving on an investment.</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6.  Portfolio Standard Deviation -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It is the standard deviation of the rate of return on an investment portfolio and is used to measure the inherent volatility of an investment. It measures the investment’s risk and helps in analyzing the stability of returns of a portfolio.</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7.  Minimum Variance Frontier -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The minimum variance frontier shows the minimum variance that can be achieved for a given level of expected return. To construct a minimum-variance frontier of a portfolio, historical data is used to estimate the mean, variance of each individual stock in the portfolio, and the correlation of each pair of stocks.</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8.  Capital allocation line</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(CAL) -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It is a graph created to measure the risk of risky and risk-free assets. The graph displays the return to be made by taking on a certain level of risk. Its slope is known as the "reward-to-variability ratio"</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9. Target Portfolio</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It is the point at which the capital allocation line cuts the minimum variance frontier at a tangent. It represents the most optimal portfolio among all the other portfolios that can be built by changing the weights of the stocks in the portfolio.n																			-NHG</a:t>
          </a:r>
        </a:p>
        <a:p>
          <a:pPr rtl="0"/>
          <a:r>
            <a:rPr lang="en-GB" b="0">
              <a:effectLst/>
              <a:latin typeface="Times New Roman" panose="02020603050405020304" pitchFamily="18" charset="0"/>
              <a:cs typeface="Times New Roman" panose="02020603050405020304" pitchFamily="18" charset="0"/>
            </a:rPr>
            <a:t> </a:t>
          </a:r>
        </a:p>
        <a:p>
          <a:pPr rtl="0"/>
          <a:r>
            <a:rPr lang="en-GB" b="0">
              <a:effectLst/>
              <a:latin typeface="Times New Roman" panose="02020603050405020304" pitchFamily="18" charset="0"/>
              <a:cs typeface="Times New Roman" panose="02020603050405020304" pitchFamily="18" charset="0"/>
            </a:rPr>
            <a:t> </a:t>
          </a:r>
        </a:p>
        <a:p>
          <a:pPr rtl="0"/>
          <a:r>
            <a:rPr lang="en-GB" b="0">
              <a:effectLst/>
              <a:latin typeface="Times New Roman" panose="02020603050405020304" pitchFamily="18" charset="0"/>
              <a:cs typeface="Times New Roman" panose="02020603050405020304" pitchFamily="18" charset="0"/>
            </a:rPr>
            <a:t> </a:t>
          </a:r>
        </a:p>
        <a:p>
          <a:pPr algn="ctr" rtl="0"/>
          <a:r>
            <a:rPr lang="en-GB" sz="1100" b="1" i="0" u="sng" strike="noStrike">
              <a:solidFill>
                <a:schemeClr val="dk1"/>
              </a:solidFill>
              <a:effectLst/>
              <a:latin typeface="Times New Roman" panose="02020603050405020304" pitchFamily="18" charset="0"/>
              <a:ea typeface="+mn-ea"/>
              <a:cs typeface="Times New Roman" panose="02020603050405020304" pitchFamily="18" charset="0"/>
            </a:rPr>
            <a:t>Excel Function used</a:t>
          </a:r>
          <a:endParaRPr lang="en-GB" b="0" u="sng">
            <a:effectLst/>
            <a:latin typeface="Times New Roman" panose="02020603050405020304" pitchFamily="18" charset="0"/>
            <a:cs typeface="Times New Roman" panose="02020603050405020304" pitchFamily="18" charset="0"/>
          </a:endParaRP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1.  Transpose Function</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The </a:t>
          </a:r>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TRANSPOSE</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function returns a vertical range of cells as a horizontal range, or vice versa. The transpose function is used to copy and paste the stock names from horizontal to vertical setting.</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2.  Solver</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Solver is a Microsoft Excel add-in program which is used for what-if analysis. Use Solver to find an optimal (maximum or minimum) value for a formula in one cell — called the objective cell — subject to constraints, or limits, on the values of other formula cells on a worksheet. The solver is used in efficient portfolio to find the target portfolio’s return and risk</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3.  Analysis Toolpak</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The Analysis ToolPak is an Excel add-in program that provides data analysis tools for financial, statistical and engineering data analysis.</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4.  SumProduct</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It multiplies a range of cells or arrays and returns the sum of products.</a:t>
          </a: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5.  Scatter Chart</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 - Its uses are to observe and show relationships between risk and return. It is used to plot all the portfolios along with the target portfolios and the capital allocation line.</a:t>
          </a:r>
        </a:p>
        <a:p>
          <a:pPr rtl="0" fontAlgn="base"/>
          <a:endParaRPr lang="en-GB" sz="1100" b="0" i="0" u="none" strike="noStrike">
            <a:solidFill>
              <a:schemeClr val="dk1"/>
            </a:solidFill>
            <a:effectLst/>
            <a:latin typeface="Times New Roman" panose="02020603050405020304" pitchFamily="18" charset="0"/>
            <a:ea typeface="+mn-ea"/>
            <a:cs typeface="Times New Roman" panose="02020603050405020304" pitchFamily="18" charset="0"/>
          </a:endParaRPr>
        </a:p>
        <a:p>
          <a:pPr algn="l" rtl="0" fontAlgn="base"/>
          <a:endParaRPr lang="en-GB" sz="1100" b="1" i="0" u="sng" strike="noStrike">
            <a:solidFill>
              <a:schemeClr val="dk1"/>
            </a:solidFill>
            <a:effectLst/>
            <a:latin typeface="Times New Roman" panose="02020603050405020304" pitchFamily="18" charset="0"/>
            <a:ea typeface="+mn-ea"/>
            <a:cs typeface="Times New Roman" panose="02020603050405020304" pitchFamily="18" charset="0"/>
          </a:endParaRPr>
        </a:p>
        <a:p>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endParaRPr lang="en-GB" sz="1100">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342900</xdr:colOff>
      <xdr:row>10</xdr:row>
      <xdr:rowOff>180974</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0" y="0"/>
          <a:ext cx="5829300" cy="2085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rtl="0"/>
          <a:r>
            <a:rPr lang="en-GB" sz="1100" b="1" i="0" u="sng" strike="noStrike">
              <a:solidFill>
                <a:schemeClr val="dk1"/>
              </a:solidFill>
              <a:effectLst/>
              <a:latin typeface="Times New Roman" panose="02020603050405020304" pitchFamily="18" charset="0"/>
              <a:ea typeface="+mn-ea"/>
              <a:cs typeface="Times New Roman" panose="02020603050405020304" pitchFamily="18" charset="0"/>
            </a:rPr>
            <a:t>Steps Involved</a:t>
          </a:r>
          <a:endParaRPr lang="en-GB" b="0" i="0" u="sng">
            <a:effectLst/>
            <a:latin typeface="Times New Roman" panose="02020603050405020304" pitchFamily="18" charset="0"/>
            <a:cs typeface="Times New Roman" panose="02020603050405020304" pitchFamily="18" charset="0"/>
          </a:endParaRPr>
        </a:p>
        <a:p>
          <a:pPr rtl="0"/>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1.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Put in</a:t>
          </a:r>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the ticker name of the two stocks of whose optimum portfolio you want to obtain.</a:t>
          </a:r>
        </a:p>
        <a:p>
          <a:pPr rtl="0"/>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2.  </a:t>
          </a:r>
          <a:r>
            <a:rPr lang="en-GB" sz="1100" b="0" i="0">
              <a:solidFill>
                <a:schemeClr val="dk1"/>
              </a:solidFill>
              <a:effectLst/>
              <a:latin typeface="Times New Roman" panose="02020603050405020304" pitchFamily="18" charset="0"/>
              <a:ea typeface="+mn-ea"/>
              <a:cs typeface="Times New Roman" panose="02020603050405020304" pitchFamily="18" charset="0"/>
            </a:rPr>
            <a:t>Kindly</a:t>
          </a:r>
          <a:r>
            <a:rPr lang="en-GB" sz="1100" b="0" i="0" baseline="0">
              <a:solidFill>
                <a:schemeClr val="dk1"/>
              </a:solidFill>
              <a:effectLst/>
              <a:latin typeface="Times New Roman" panose="02020603050405020304" pitchFamily="18" charset="0"/>
              <a:ea typeface="+mn-ea"/>
              <a:cs typeface="Times New Roman" panose="02020603050405020304" pitchFamily="18" charset="0"/>
            </a:rPr>
            <a:t> put in the starting date which comprises of the starting year, the starting month and the         starting date.</a:t>
          </a:r>
          <a:endParaRPr lang="en-GB" sz="1100" b="1" i="0" u="none" strike="noStrike">
            <a:solidFill>
              <a:schemeClr val="dk1"/>
            </a:solidFill>
            <a:effectLst/>
            <a:latin typeface="Times New Roman" panose="02020603050405020304" pitchFamily="18" charset="0"/>
            <a:ea typeface="+mn-ea"/>
            <a:cs typeface="Times New Roman" panose="02020603050405020304" pitchFamily="18" charset="0"/>
          </a:endParaRPr>
        </a:p>
        <a:p>
          <a:pPr rtl="0" fontAlgn="base"/>
          <a:r>
            <a:rPr lang="en-GB" sz="1100" b="1" i="0" u="none" strike="noStrike">
              <a:solidFill>
                <a:schemeClr val="dk1"/>
              </a:solidFill>
              <a:effectLst/>
              <a:latin typeface="Times New Roman" panose="02020603050405020304" pitchFamily="18" charset="0"/>
              <a:ea typeface="+mn-ea"/>
              <a:cs typeface="Times New Roman" panose="02020603050405020304" pitchFamily="18" charset="0"/>
            </a:rPr>
            <a:t>3.  </a:t>
          </a:r>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Press</a:t>
          </a:r>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on Calculate button to obtain the optimum portfolio.</a:t>
          </a:r>
          <a:r>
            <a:rPr lang="en-GB" b="0">
              <a:effectLst/>
              <a:latin typeface="Times New Roman" panose="02020603050405020304" pitchFamily="18" charset="0"/>
              <a:cs typeface="Times New Roman" panose="02020603050405020304" pitchFamily="18" charset="0"/>
            </a:rPr>
            <a:t> </a:t>
          </a:r>
        </a:p>
        <a:p>
          <a:pPr rtl="0"/>
          <a:r>
            <a:rPr lang="en-GB" b="0">
              <a:effectLst/>
              <a:latin typeface="Times New Roman" panose="02020603050405020304" pitchFamily="18" charset="0"/>
              <a:cs typeface="Times New Roman" panose="02020603050405020304" pitchFamily="18" charset="0"/>
            </a:rPr>
            <a:t> </a:t>
          </a:r>
        </a:p>
        <a:p>
          <a:pPr rtl="0"/>
          <a:r>
            <a:rPr lang="en-GB" b="0">
              <a:effectLst/>
              <a:latin typeface="Times New Roman" panose="02020603050405020304" pitchFamily="18" charset="0"/>
              <a:cs typeface="Times New Roman" panose="02020603050405020304" pitchFamily="18" charset="0"/>
            </a:rPr>
            <a:t> </a:t>
          </a:r>
        </a:p>
        <a:p>
          <a:pPr algn="ctr" rtl="0"/>
          <a:r>
            <a:rPr lang="en-GB" sz="1100" b="1" i="0" u="sng" strike="noStrike">
              <a:solidFill>
                <a:schemeClr val="dk1"/>
              </a:solidFill>
              <a:effectLst/>
              <a:latin typeface="Times New Roman" panose="02020603050405020304" pitchFamily="18" charset="0"/>
              <a:ea typeface="+mn-ea"/>
              <a:cs typeface="Times New Roman" panose="02020603050405020304" pitchFamily="18" charset="0"/>
            </a:rPr>
            <a:t>General Instructions</a:t>
          </a:r>
          <a:endParaRPr lang="en-GB" b="0" u="sng">
            <a:effectLst/>
            <a:latin typeface="Times New Roman" panose="02020603050405020304" pitchFamily="18" charset="0"/>
            <a:cs typeface="Times New Roman" panose="02020603050405020304" pitchFamily="18" charset="0"/>
          </a:endParaRPr>
        </a:p>
        <a:p>
          <a:pPr rtl="0" fontAlgn="base"/>
          <a:r>
            <a:rPr lang="en-GB" sz="1100" b="0" i="0" u="none" strike="noStrike">
              <a:solidFill>
                <a:schemeClr val="dk1"/>
              </a:solidFill>
              <a:effectLst/>
              <a:latin typeface="Times New Roman" panose="02020603050405020304" pitchFamily="18" charset="0"/>
              <a:ea typeface="+mn-ea"/>
              <a:cs typeface="Times New Roman" panose="02020603050405020304" pitchFamily="18" charset="0"/>
            </a:rPr>
            <a:t>1. </a:t>
          </a:r>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Please make sure that the solver in references of macro is on.</a:t>
          </a:r>
        </a:p>
        <a:p>
          <a:pPr rtl="0" fontAlgn="base"/>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To switch on the solver refrences, please follow the following steps:</a:t>
          </a:r>
        </a:p>
        <a:p>
          <a:pPr rtl="0" fontAlgn="base"/>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      {Go to Develepor &gt; Visual Basics &gt; Tools &gt; References &gt; Solver}</a:t>
          </a:r>
        </a:p>
        <a:p>
          <a:pPr rtl="0" fontAlgn="base"/>
          <a:r>
            <a:rPr lang="en-GB" sz="1100" b="0" i="0" u="none" strike="noStrike" baseline="0">
              <a:solidFill>
                <a:schemeClr val="dk1"/>
              </a:solidFill>
              <a:effectLst/>
              <a:latin typeface="Times New Roman" panose="02020603050405020304" pitchFamily="18" charset="0"/>
              <a:ea typeface="+mn-ea"/>
              <a:cs typeface="Times New Roman" panose="02020603050405020304" pitchFamily="18" charset="0"/>
            </a:rPr>
            <a:t>2.  Please ensure that you have Microsoft Excel 365 installed in your system.</a:t>
          </a:r>
          <a:endParaRPr lang="en-GB" sz="1100" b="1" i="0" u="sng" strike="noStrike">
            <a:solidFill>
              <a:schemeClr val="dk1"/>
            </a:solidFill>
            <a:effectLst/>
            <a:latin typeface="Times New Roman" panose="02020603050405020304" pitchFamily="18" charset="0"/>
            <a:ea typeface="+mn-ea"/>
            <a:cs typeface="Times New Roman" panose="02020603050405020304" pitchFamily="18" charset="0"/>
          </a:endParaRPr>
        </a:p>
        <a:p>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br>
            <a:rPr lang="en-GB" b="0">
              <a:effectLst/>
              <a:latin typeface="Times New Roman" panose="02020603050405020304" pitchFamily="18" charset="0"/>
              <a:cs typeface="Times New Roman" panose="02020603050405020304" pitchFamily="18" charset="0"/>
            </a:rPr>
          </a:br>
          <a:endParaRPr lang="en-GB" sz="1100">
            <a:latin typeface="Times New Roman" panose="02020603050405020304" pitchFamily="18" charset="0"/>
            <a:cs typeface="Times New Roman" panose="02020603050405020304" pitchFamily="18"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12</xdr:col>
      <xdr:colOff>676275</xdr:colOff>
      <xdr:row>27</xdr:row>
      <xdr:rowOff>0</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clrChange>
            <a:clrFrom>
              <a:srgbClr val="B2B2B2"/>
            </a:clrFrom>
            <a:clrTo>
              <a:srgbClr val="B2B2B2">
                <a:alpha val="0"/>
              </a:srgbClr>
            </a:clrTo>
          </a:clrChange>
          <a:extLst>
            <a:ext uri="{28A0092B-C50C-407E-A947-70E740481C1C}">
              <a14:useLocalDpi xmlns:a14="http://schemas.microsoft.com/office/drawing/2010/main" val="0"/>
            </a:ext>
          </a:extLst>
        </a:blip>
        <a:stretch>
          <a:fillRect/>
        </a:stretch>
      </xdr:blipFill>
      <xdr:spPr>
        <a:xfrm>
          <a:off x="0" y="0"/>
          <a:ext cx="8905875" cy="4972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6</xdr:col>
      <xdr:colOff>283146</xdr:colOff>
      <xdr:row>11</xdr:row>
      <xdr:rowOff>281940</xdr:rowOff>
    </xdr:from>
    <xdr:to>
      <xdr:col>18</xdr:col>
      <xdr:colOff>191508</xdr:colOff>
      <xdr:row>31</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889000</xdr:colOff>
          <xdr:row>9</xdr:row>
          <xdr:rowOff>69850</xdr:rowOff>
        </xdr:from>
        <xdr:to>
          <xdr:col>3</xdr:col>
          <xdr:colOff>514350</xdr:colOff>
          <xdr:row>11</xdr:row>
          <xdr:rowOff>95250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CALCULATE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384175</xdr:colOff>
      <xdr:row>18</xdr:row>
      <xdr:rowOff>63500</xdr:rowOff>
    </xdr:from>
    <xdr:to>
      <xdr:col>12</xdr:col>
      <xdr:colOff>428625</xdr:colOff>
      <xdr:row>33</xdr:row>
      <xdr:rowOff>44450</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671078</xdr:colOff>
      <xdr:row>15</xdr:row>
      <xdr:rowOff>37111</xdr:rowOff>
    </xdr:from>
    <xdr:to>
      <xdr:col>18</xdr:col>
      <xdr:colOff>408213</xdr:colOff>
      <xdr:row>34</xdr:row>
      <xdr:rowOff>61851</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7" xr16:uid="{A0FF9796-817A-4B97-B99D-CECA8AF3C729}" autoFormatId="16" applyNumberFormats="0" applyBorderFormats="0" applyFontFormats="0" applyPatternFormats="0" applyAlignmentFormats="0" applyWidthHeightFormats="0">
  <queryTableRefresh nextId="2">
    <queryTableFields count="1">
      <queryTableField id="1" name="Adj. close**"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8" xr16:uid="{125CAB7E-802E-475D-A7DA-AAA82D79A0F2}"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85C4FFF3-B272-4D6F-821B-AB43A55A2C77}" autoFormatId="16" applyNumberFormats="0" applyBorderFormats="0" applyFontFormats="0" applyPatternFormats="0" applyAlignmentFormats="0" applyWidthHeightFormats="0">
  <queryTableRefresh nextId="4">
    <queryTableFields count="3">
      <queryTableField id="1" name="Date" tableColumnId="1"/>
      <queryTableField id="2" name="SBI" tableColumnId="2"/>
      <queryTableField id="3" name="Deepak Nitrite"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connectionId="5" xr16:uid="{D4138676-23F6-4C64-A477-B99C897B9E3C}"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4" xr16:uid="{33448E85-AD5F-4FE0-B8F2-A4BF7B2DA6D5}"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3" xr16:uid="{889394F5-6F7A-4365-B278-1A0B9CEC8B3C}"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275D5A39-F5F1-406C-BFE8-29F79A351C2E}" autoFormatId="16" applyNumberFormats="0" applyBorderFormats="0" applyFontFormats="0" applyPatternFormats="0" applyAlignmentFormats="0" applyWidthHeightFormats="0">
  <queryTableRefresh nextId="8">
    <queryTableFields count="7">
      <queryTableField id="1" name="Date" tableColumnId="1"/>
      <queryTableField id="2" name="Open" tableColumnId="2"/>
      <queryTableField id="3" name="High" tableColumnId="3"/>
      <queryTableField id="4" name="Low" tableColumnId="4"/>
      <queryTableField id="5" name="Close*" tableColumnId="5"/>
      <queryTableField id="6" name="Adj. close**" tableColumnId="6"/>
      <queryTableField id="7" name="Volume" tableColumnId="7"/>
    </queryTableFields>
  </queryTableRefresh>
</queryTable>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
  <a r="1" c="13">
    <v t="i">0</v>
    <v t="i">30</v>
    <v t="i">61</v>
    <v t="i">92</v>
    <v t="i">122</v>
    <v t="i">153</v>
    <v t="i">183</v>
    <v t="i">214</v>
    <v t="i">245</v>
    <v t="i">273</v>
    <v t="i">304</v>
    <v t="i">334</v>
    <v t="i">365</v>
  </a>
  <a r="1" c="13">
    <v>178.45</v>
    <v>191.45</v>
    <v>212</v>
    <v>185.4</v>
    <v>189.25</v>
    <v>244.25</v>
    <v>274.95</v>
    <v>282.10000000000002</v>
    <v>390.15</v>
    <v>364.3</v>
    <v>353.5</v>
    <v>424.35</v>
    <v>430.35</v>
  </a>
  <a r="1" c="13">
    <v>2180</v>
    <v>2209.9</v>
    <v>2117.35</v>
    <v>2068.25</v>
    <v>2071.3000000000002</v>
    <v>2138.1999999999998</v>
    <v>2395.4</v>
    <v>2263.9</v>
    <v>2132.0500000000002</v>
    <v>2431.5</v>
    <v>2353.75</v>
    <v>2340.0500000000002</v>
    <v>2364.6</v>
  </a>
</arrayData>
</file>

<file path=xl/richData/rdrichvalue.xml><?xml version="1.0" encoding="utf-8"?>
<rvData xmlns="http://schemas.microsoft.com/office/spreadsheetml/2017/richdata" count="53">
  <rv s="0">
    <fb>43983</fb>
    <v>0</v>
  </rv>
  <rv s="0">
    <fb>2180</fb>
    <v>1</v>
  </rv>
  <rv s="0">
    <fb>178.45</fb>
    <v>1</v>
  </rv>
  <rv s="0">
    <fb>44013</fb>
    <v>0</v>
  </rv>
  <rv s="0">
    <fb>2209.9</fb>
    <v>1</v>
  </rv>
  <rv s="0">
    <fb>191.45</fb>
    <v>1</v>
  </rv>
  <rv s="0">
    <fb>44044</fb>
    <v>0</v>
  </rv>
  <rv s="0">
    <fb>2117.35</fb>
    <v>1</v>
  </rv>
  <rv s="0">
    <fb>212</fb>
    <v>1</v>
  </rv>
  <rv s="0">
    <fb>44075</fb>
    <v>0</v>
  </rv>
  <rv s="0">
    <fb>2068.25</fb>
    <v>1</v>
  </rv>
  <rv s="0">
    <fb>185.4</fb>
    <v>1</v>
  </rv>
  <rv s="0">
    <fb>44105</fb>
    <v>0</v>
  </rv>
  <rv s="0">
    <fb>2071.3000000000002</fb>
    <v>1</v>
  </rv>
  <rv s="0">
    <fb>189.25</fb>
    <v>1</v>
  </rv>
  <rv s="0">
    <fb>44136</fb>
    <v>0</v>
  </rv>
  <rv s="0">
    <fb>2138.1999999999998</fb>
    <v>1</v>
  </rv>
  <rv s="0">
    <fb>244.25</fb>
    <v>1</v>
  </rv>
  <rv s="0">
    <fb>44166</fb>
    <v>0</v>
  </rv>
  <rv s="0">
    <fb>2395.4</fb>
    <v>1</v>
  </rv>
  <rv s="0">
    <fb>274.95</fb>
    <v>1</v>
  </rv>
  <rv s="0">
    <fb>44197</fb>
    <v>0</v>
  </rv>
  <rv s="0">
    <fb>2263.9</fb>
    <v>1</v>
  </rv>
  <rv s="0">
    <fb>282.10000000000002</fb>
    <v>1</v>
  </rv>
  <rv s="0">
    <fb>44228</fb>
    <v>0</v>
  </rv>
  <rv s="0">
    <fb>2132.0500000000002</fb>
    <v>1</v>
  </rv>
  <rv s="0">
    <fb>390.15</fb>
    <v>1</v>
  </rv>
  <rv s="0">
    <fb>44256</fb>
    <v>0</v>
  </rv>
  <rv s="0">
    <fb>2431.5</fb>
    <v>1</v>
  </rv>
  <rv s="0">
    <fb>364.3</fb>
    <v>1</v>
  </rv>
  <rv s="0">
    <fb>44287</fb>
    <v>0</v>
  </rv>
  <rv s="0">
    <fb>2353.75</fb>
    <v>1</v>
  </rv>
  <rv s="0">
    <fb>353.5</fb>
    <v>1</v>
  </rv>
  <rv s="0">
    <fb>44317</fb>
    <v>0</v>
  </rv>
  <rv s="0">
    <fb>2340.0500000000002</fb>
    <v>1</v>
  </rv>
  <rv s="0">
    <fb>424.35</fb>
    <v>1</v>
  </rv>
  <rv s="0">
    <fb>44348</fb>
    <v>0</v>
  </rv>
  <rv s="0">
    <fb>2364.6</fb>
    <v>1</v>
  </rv>
  <rv s="0">
    <fb>430.35</fb>
    <v>1</v>
  </rv>
  <rv s="1">
    <v>https://www.bing.com/financeapi/forcetrigger?t=bwn1ec&amp;q=XLON%3aSBI&amp;form=skydnc</v>
    <v>Learn more on Bing</v>
  </rv>
  <rv s="2">
    <v>2</v>
    <v>SOURCEBIO INTERNATIONAL PLC (XLON:SBI)</v>
    <v>4</v>
    <v>5</v>
    <v>Finance</v>
    <v>6</v>
    <v>en-GB</v>
    <v>bwn1ec</v>
    <v>268435456</v>
    <v>1</v>
    <v>Powered by Refinitiv</v>
    <v>240</v>
    <v>151</v>
    <v>-1.56</v>
    <v>-9.2859999999999991E-3</v>
    <v>GBp</v>
    <v>SourceBio International plc, formerly Sourcebio International Ltd, is a United Kingdom-based provider of integrated laboratory services and products. The Company's businesses include Healthcare Diagnostics, Genomics, Stability Storage and Infectious Disease Testing. Healthcare Diagnostics business include histopathology and clinical diagnostic services for the national health service (NHS) and private healthcare providers. Genomics business offers sanger and next generation sequencing services for pharmaceutical and biotechnology industries, academia, contract research organization (CRO) and other research groups. Stability Storage business offers controlled environmental storage and shelf life testing services and stability storage equipment for pharmaceutical and biotechnology industry, contract manufacturers and analytical testing companies. Infectious Disease Testing business offers antigen reverse transcription-polymerase chain reaction (RT-PCR) testing services.</v>
    <v>194</v>
    <v>London Stock Exchange</v>
    <v>XLON</v>
    <v>XLON</v>
    <v>1 Orchard Place, Nottingham Business Park, Nottingham, NOTTINGHAMSHIRE, NG8 6PX GB</v>
    <v>Healthcare Providers &amp; Services</v>
    <v>Stock</v>
    <v>44362.457996978905</v>
    <v>39</v>
    <v>124627500</v>
    <v>SOURCEBIO INTERNATIONAL PLC</v>
    <v>SOURCEBIO INTERNATIONAL PLC</v>
    <v>165</v>
    <v>31.6981</v>
    <v>168</v>
    <v>166.44</v>
    <v>74183040</v>
    <v>SBI</v>
    <v>SOURCEBIO INTERNATIONAL PLC (XLON:SBI)</v>
    <v>11757</v>
    <v>2016</v>
  </rv>
  <rv s="3">
    <v>40</v>
  </rv>
  <rv s="1">
    <v>https://www.bing.com/financeapi/forcetrigger?t=am478m&amp;q=XJSE%3aHUL&amp;form=skydnc</v>
    <v>Learn more on Bing</v>
  </rv>
  <rv s="4">
    <v>7</v>
    <v>Hulisani Limited (XJSE:HUL)</v>
    <v>4</v>
    <v>8</v>
    <v>Finance</v>
    <v>9</v>
    <v>en-GB</v>
    <v>am478m</v>
    <v>268435456</v>
    <v>1</v>
    <v>Powered by Refinitiv</v>
    <v>420</v>
    <v>100</v>
    <v>9.7000000000000003E-2</v>
    <v>11</v>
    <v>6.5088999999999994E-2</v>
    <v>ZAc</v>
    <v>Hulisani Limited is an investment holding company. Initially the Company’s focus is in South Africa. The Company is engaged in investment in the African energy sector. The Company acts as an investment vehicle that allow investors, both individual and institutional, to gain exposure to the energy sector. The Company invests in all forms of sustainable energy from the conventional, such as coal and gas, to renewable energy in the form of solar, wind, hydro and biomass energy plants.</v>
    <v>Johannesburg Stock Exchange</v>
    <v>XJSE</v>
    <v>XJSE</v>
    <v>4th Floor, North Tower,, 90 Rivonia Road,, SANDTON, GAUTENG, 2196 ZA</v>
    <v>180</v>
    <v>Electrical Utilities &amp; IPPs</v>
    <v>Stock</v>
    <v>44362.463194444441</v>
    <v>42</v>
    <v>170</v>
    <v>84500030</v>
    <v>Hulisani Limited</v>
    <v>Hulisani Limited</v>
    <v>170</v>
    <v>7.35</v>
    <v>169</v>
    <v>180</v>
    <v>50000020</v>
    <v>HUL</v>
    <v>Hulisani Limited (XJSE:HUL)</v>
    <v>802768</v>
  </rv>
  <rv s="3">
    <v>43</v>
  </rv>
  <rv s="1">
    <v>https://www.bing.com/financeapi/forcetrigger?t=ah8xar&amp;q=XBOM%3a506401&amp;form=skydnc</v>
    <v>Learn more on Bing</v>
  </rv>
  <rv s="5">
    <v>10</v>
    <v>DEEPAK NITRITE LIMITED (XBOM:506401)</v>
    <v>4</v>
    <v>11</v>
    <v>Finance</v>
    <v>12</v>
    <v>en-GB</v>
    <v>ah8xar</v>
    <v>268435456</v>
    <v>1</v>
    <v>Powered by Refinitiv</v>
    <v>1989.2</v>
    <v>458</v>
    <v>1.0952999999999999</v>
    <v>4.45</v>
    <v>2.5140000000000002E-3</v>
    <v>2.8</v>
    <v>1.578E-3</v>
    <v>INR</v>
    <v>Deepak Nitrite Limited is a chemical manufacturing company. The Company offers Sodium Nitrite, 2 Ethyl Hexyl Nitrate and Optical Brightening Agent (OBA). The Company's segments include Bulk Chemicals and Commodities (BCC), Fine and Speciality Chemicals (FSC), and Fluorescent Whitening Agent (FWA). The BCC segment offers nitro tolunes, fuel additives and sodium nitrite/nitrate. The FSC segment offers specialty chemicals, xylidines, oximes and cumidines. The FWA segment offers diamino stilbene disulfonic acid (DASDA) and OBA. The Company's manufacturing facilities are located at Nandesari, Dahej (Gujarat), Roha, Taloja (Maharashtra) and Hyderabad (Telangana), and its research and development facility is located at Nandesari (Gujarat). The Company also offers color intermediates. The Company's products cater to several industries, such as colorants, petrochemicals, agrochemicals, rubber, pharmaceuticals, paper, textile and detergents.</v>
    <v>1472</v>
    <v>Bombay Stock Exchange</v>
    <v>XBOM</v>
    <v>XBOM</v>
    <v>Aaditya-I, National Highway No. 8, Chhani Road, VADODARA, GUJARAT, 390024 IN</v>
    <v>1819.3</v>
    <v>Chemicals</v>
    <v>Stock</v>
    <v>44362.437511574077</v>
    <v>45</v>
    <v>1771.85</v>
    <v>241400700000</v>
    <v>DEEPAK NITRITE LIMITED</v>
    <v>DEEPAK NITRITE LIMITED</v>
    <v>1779</v>
    <v>31.12</v>
    <v>1770.25</v>
    <v>1774.7</v>
    <v>1777.5</v>
    <v>136400000</v>
    <v>506401</v>
    <v>DEEPAK NITRITE LIMITED (XBOM:506401)</v>
    <v>141115</v>
    <v>1970</v>
  </rv>
  <rv s="3">
    <v>46</v>
  </rv>
  <rv s="1">
    <v>https://www.bing.com/financeapi/forcetrigger?t=ahibur&amp;q=XNSE%3aINDUSINDBK&amp;form=skydnc</v>
    <v>Learn more on Bing</v>
  </rv>
  <rv s="6">
    <v>13</v>
    <v>INDUSIND BANK LTD. (XNSE:INDUSINDBK)</v>
    <v>4</v>
    <v>14</v>
    <v>Finance</v>
    <v>15</v>
    <v>en-GB</v>
    <v>ahibur</v>
    <v>268435456</v>
    <v>1</v>
    <v>Powered by Refinitiv</v>
    <v>1119.5</v>
    <v>456.3</v>
    <v>2.339</v>
    <v>10.15</v>
    <v>9.9089999999999994E-3</v>
    <v>INR</v>
    <v>IndusInd Bank Limited (the Bank) is engaged in banking and para-banking services. The Bank is involved in accepting deposits, such as savings accounts, current accounts and fixed deposits, and banking solutions. The Bank is engaged in granting loans to various segments, such as industries and businesses, and retail loans; financing a range of vehicles or equipment to individuals, and priority sector lending. The Bank's segments include Treasury, Corporate/Wholesale Banking, Retail Banking and Other Banking Operations. The Treasury segment includes investment portfolios, profit or loss on sale of investments, profit or loss on foreign exchange transactions, equities, income from derivatives and money market operations. The Corporate/Wholesale Banking segment includes lending to and deposits from corporate customers. The Retail Banking segment includes lending to and deposits from retail customers. The Bank operates approximately 1,000 branches. The Company has operations in India.</v>
    <v>30674</v>
    <v>National Stock Exchange of India</v>
    <v>XNSE</v>
    <v>XNSE</v>
    <v>8th Floor, Tower 1, One Indiabulls Centre, 841, Senapati Bapat Marg, Elphinstone Road (W), MUMBAI, MAHARASHTRA, 400013 IN</v>
    <v>1050</v>
    <v>Banking Services</v>
    <v>Stock</v>
    <v>44362.468148148146</v>
    <v>48</v>
    <v>1025</v>
    <v>792646500000</v>
    <v>INDUSIND BANK LTD.</v>
    <v>INDUSIND BANK LTD.</v>
    <v>1025</v>
    <v>25.78</v>
    <v>1024.3</v>
    <v>1034.45</v>
    <v>773842200</v>
    <v>INDUSINDBK</v>
    <v>INDUSIND BANK LTD. (XNSE:INDUSINDBK)</v>
    <v>6026006</v>
    <v>1994</v>
  </rv>
  <rv s="3">
    <v>49</v>
  </rv>
  <rv s="7">
    <v>16</v>
    <v>SBIN</v>
    <v>Monthly</v>
    <v>43983</v>
    <v>44377</v>
    <v>0</v>
    <v>1</v>
    <v>637592256000000000,637593583609289829,0</v>
    <v>0</v>
    <v>ahju6h</v>
    <v>XNSE:SBIN</v>
    <v>1</v>
  </rv>
  <rv s="7">
    <v>16</v>
    <v>HINDUNILVR</v>
    <v>Monthly</v>
    <v>43983</v>
    <v>44377</v>
    <v>0</v>
    <v>1</v>
    <v>637592256000000000,637593583609299346,0</v>
    <v>0</v>
    <v>ahi62w</v>
    <v>XNSE:HINDUNILVR</v>
    <v>2</v>
  </rv>
</rvData>
</file>

<file path=xl/richData/rdrichvaluestructure.xml><?xml version="1.0" encoding="utf-8"?>
<rvStructures xmlns="http://schemas.microsoft.com/office/spreadsheetml/2017/richdata" count="8">
  <s t="_formattednumber">
    <k n="_Format" t="spb"/>
  </s>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Description" t="s"/>
    <k n="Employees"/>
    <k n="Exchange" t="s"/>
    <k n="Exchange abbreviation" t="s"/>
    <k n="ExchangeID" t="s"/>
    <k n="Headquarters" t="s"/>
    <k n="Industry" t="s"/>
    <k n="Instrument type" t="s"/>
    <k n="Last trade time"/>
    <k n="LearnMoreOnLink" t="r"/>
    <k n="Market cap"/>
    <k n="Name" t="s"/>
    <k n="Official name" t="s"/>
    <k n="Open"/>
    <k n="P/E"/>
    <k n="Previous close"/>
    <k n="Price"/>
    <k n="Shares outstanding"/>
    <k n="Ticker symbol" t="s"/>
    <k n="UniqueName" t="s"/>
    <k n="Volum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Year incorporated"/>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4">
    <a count="38">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52 week high</v>
      <v t="s">52 week low</v>
      <v t="s">Volume</v>
      <v t="s">Market cap</v>
      <v t="s">P/E</v>
      <v t="s">Shares outstanding</v>
      <v t="s">Description</v>
      <v t="s">Employees</v>
      <v t="s">Headquarters</v>
      <v t="s">Industry</v>
      <v t="s">Instrument type</v>
      <v t="s">Year incorporated</v>
      <v t="s">_Flags</v>
      <v t="s">UniqueName</v>
      <v t="s">_DisplayString</v>
      <v t="s">LearnMoreOnLink</v>
      <v t="s">ExchangeID</v>
      <v t="s">%ProviderInfo</v>
    </a>
    <a count="39">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Headquarters</v>
      <v t="s">Industry</v>
      <v t="s">Instrument type</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7">
    <spb s="0">
      <v>1</v>
    </spb>
    <spb s="0">
      <v>2</v>
    </spb>
    <spb s="1">
      <v>0</v>
      <v>Name</v>
      <v>LearnMoreOnLink</v>
    </spb>
    <spb s="2">
      <v>0</v>
      <v>0</v>
      <v>0</v>
    </spb>
    <spb s="3">
      <v>3</v>
      <v>3</v>
      <v>3</v>
      <v>3</v>
    </spb>
    <spb s="4">
      <v>3</v>
      <v>4</v>
      <v>5</v>
      <v>5</v>
      <v>5</v>
      <v>6</v>
      <v>6</v>
      <v>7</v>
      <v>8</v>
      <v>5</v>
      <v>5</v>
      <v>5</v>
      <v>9</v>
      <v>10</v>
      <v>11</v>
      <v>12</v>
      <v>6</v>
    </spb>
    <spb s="5">
      <v>Delayed 15 minutes</v>
      <v>from previous close</v>
      <v>from previous close</v>
      <v>LSE</v>
      <v>GMT</v>
    </spb>
    <spb s="1">
      <v>1</v>
      <v>Name</v>
      <v>LearnMoreOnLink</v>
    </spb>
    <spb s="6">
      <v>5</v>
      <v>3</v>
      <v>3</v>
      <v>5</v>
      <v>4</v>
      <v>5</v>
      <v>5</v>
      <v>5</v>
      <v>6</v>
      <v>7</v>
      <v>13</v>
      <v>5</v>
      <v>5</v>
      <v>5</v>
      <v>9</v>
      <v>10</v>
      <v>12</v>
      <v>6</v>
    </spb>
    <spb s="7">
      <v>Delayed 30 minutes</v>
      <v>from previous close</v>
      <v>from previous close</v>
      <v>GMT</v>
    </spb>
    <spb s="1">
      <v>2</v>
      <v>Name</v>
      <v>LearnMoreOnLink</v>
    </spb>
    <spb s="8">
      <v>2</v>
      <v>3</v>
      <v>3</v>
      <v>2</v>
      <v>4</v>
      <v>2</v>
      <v>2</v>
      <v>2</v>
      <v>6</v>
      <v>6</v>
      <v>7</v>
      <v>14</v>
      <v>2</v>
      <v>2</v>
      <v>2</v>
      <v>9</v>
      <v>10</v>
      <v>11</v>
      <v>12</v>
      <v>6</v>
      <v>2</v>
      <v>2</v>
      <v>7</v>
    </spb>
    <spb s="9">
      <v>at close</v>
      <v>from previous close</v>
      <v>from previous close</v>
      <v>GMT</v>
      <v>Delayed 15 minutes</v>
      <v>from close</v>
      <v>from close</v>
    </spb>
    <spb s="1">
      <v>3</v>
      <v>Name</v>
      <v>LearnMoreOnLink</v>
    </spb>
    <spb s="10">
      <v>2</v>
      <v>3</v>
      <v>3</v>
      <v>2</v>
      <v>4</v>
      <v>2</v>
      <v>2</v>
      <v>2</v>
      <v>6</v>
      <v>6</v>
      <v>7</v>
      <v>14</v>
      <v>2</v>
      <v>2</v>
      <v>2</v>
      <v>9</v>
      <v>10</v>
      <v>11</v>
      <v>12</v>
      <v>6</v>
    </spb>
    <spb s="7">
      <v>Delayed 5 minutes</v>
      <v>from previous close</v>
      <v>from previous close</v>
      <v>GMT</v>
    </spb>
    <spb s="11">
      <v>1</v>
      <v>2</v>
    </spb>
  </spbData>
</supportingPropertyBags>
</file>

<file path=xl/richData/rdsupportingpropertybagstructure.xml><?xml version="1.0" encoding="utf-8"?>
<spbStructures xmlns="http://schemas.microsoft.com/office/spreadsheetml/2017/richdata2" count="12">
  <s>
    <k n="_Self" t="i"/>
  </s>
  <s>
    <k n="^Order" t="spba"/>
    <k n="TitleProperty" t="s"/>
    <k n="SubTitleProperty" t="s"/>
  </s>
  <s>
    <k n="ShowInCardView" t="b"/>
    <k n="ShowInDotNotation" t="b"/>
    <k n="ShowInAutoComplete" t="b"/>
  </s>
  <s>
    <k n="ExchangeID" t="spb"/>
    <k n="UniqueName" t="spb"/>
    <k n="%ProviderInfo" t="spb"/>
    <k n="LearnMoreOnLink" t="spb"/>
  </s>
  <s>
    <k n="P/E"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Price" t="s"/>
    <k n="Change" t="s"/>
    <k n="Change (%)" t="s"/>
    <k n="ExchangeID" t="s"/>
    <k n="Last trade time" t="s"/>
  </s>
  <s>
    <k n="Low" t="i"/>
    <k n="P/E" t="i"/>
    <k n="Beta" t="i"/>
    <k n="High" t="i"/>
    <k n="Name" t="i"/>
    <k n="Open" t="i"/>
    <k n="Price" t="i"/>
    <k n="Change" t="i"/>
    <k n="Volume" t="i"/>
    <k n="Change (%)" t="i"/>
    <k n="Market cap" t="i"/>
    <k n="52 week low" t="i"/>
    <k n="52 week high" t="i"/>
    <k n="Previous close" t="i"/>
    <k n="Last trade time" t="i"/>
    <k n="`_DisplayString" t="i"/>
    <k n="`%EntityServiceId" t="i"/>
    <k n="Shares outstanding" t="i"/>
  </s>
  <s>
    <k n="Price" t="s"/>
    <k n="Change" t="s"/>
    <k n="Change (%)" t="s"/>
    <k n="Last trade time" t="s"/>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k n="Price (Extended hours)" t="i"/>
    <k n="Change (Extended hours)" t="i"/>
    <k n="Change % (Extended hours)" t="i"/>
  </s>
  <s>
    <k n="Price" t="s"/>
    <k n="Change" t="s"/>
    <k n="Change (%)"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Last trade time" t="i"/>
    <k n="`_DisplayString" t="i"/>
    <k n="Year incorporated" t="i"/>
    <k n="`%EntityServiceId" t="i"/>
    <k n="Shares outstanding"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2">
    <x:dxf>
      <x:numFmt numFmtId="19" formatCode="dd/mm/yy"/>
    </x:dxf>
    <x:dxf>
      <x:numFmt numFmtId="167" formatCode="_([$₹-4009]* #,##0.00_);_([$₹-4009]* \(#,##0.00\);_([$₹-4009]* &quot;-&quot;??_);_(@_)"/>
    </x:dxf>
    <x:dxf>
      <x:numFmt numFmtId="4" formatCode="#,##0.00"/>
    </x:dxf>
    <x:dxf>
      <x:numFmt numFmtId="35" formatCode="_(* #,##0.00_);_(* \(#,##0.00\);_(* &quot;-&quot;??_);_(@_)"/>
    </x:dxf>
    <x:dxf>
      <x:numFmt numFmtId="3" formatCode="#,##0"/>
    </x:dxf>
    <x:dxf>
      <x:numFmt numFmtId="14" formatCode="0.00%"/>
    </x:dxf>
    <x:dxf>
      <x:numFmt numFmtId="166" formatCode="_([$£-809]* #,##0_);_([$£-809]* \(#,##0\);_([$£-809]* &quot;-&quot;_);_(@_)"/>
    </x:dxf>
    <x:dxf>
      <x:numFmt numFmtId="27" formatCode="dd/mm/yy\ h:mm"/>
    </x:dxf>
    <x:dxf>
      <x:numFmt numFmtId="1" formatCode="0"/>
    </x:dxf>
    <x:dxf>
      <x:numFmt numFmtId="2" formatCode="0.00"/>
    </x:dxf>
    <x:dxf>
      <x:numFmt numFmtId="165" formatCode="_([$R-436]* #,##0_);_([$R-436]* \(#,##0\);_([$R-436]* &quot;-&quot;_);_(@_)"/>
    </x:dxf>
    <x:dxf>
      <x:numFmt numFmtId="164" formatCode="_([$₹-4009]* #,##0_);_([$₹-4009]* \(#,##0\);_([$₹-4009]* &quot;-&quot;_);_(@_)"/>
    </x:dxf>
  </dxfs>
  <richProperties>
    <rPr n="IsTitleField" t="b"/>
    <rPr n="ShouldShowInCell" t="b"/>
  </richProperties>
  <richStyles>
    <rSty dxfid="0"/>
    <rSty dxfid="1"/>
    <rSty dxfid="2"/>
    <rSty>
      <rpv i="0">1</rpv>
    </rSty>
    <rSty dxfid="3"/>
    <rSty dxfid="4"/>
    <rSty dxfid="5"/>
    <rSty dxfid="6"/>
    <rSty dxfid="7"/>
    <rSty>
      <rpv i="1">1</rpv>
    </rSty>
    <rSty dxfid="8"/>
    <rSty dxfid="9"/>
    <rSty dxfid="10"/>
    <rSty dxfid="11"/>
  </richStyles>
</richStyleSheet>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48CD27-548C-459E-9619-63BC576B0072}" name="Table_2__2" displayName="Table_2__2" ref="A1:A101" tableType="queryTable" totalsRowShown="0">
  <autoFilter ref="A1:A101" xr:uid="{2270F224-CF89-4A94-92C9-0B902C6AE584}"/>
  <tableColumns count="1">
    <tableColumn id="1" xr3:uid="{B3E6739C-60FC-478F-A7CF-E73C7F91C3B6}" uniqueName="1" name="Adj. close**" queryTableFieldId="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CF2A4A1-2A5B-445C-BB0F-59608A0002CE}" name="Table_2__3" displayName="Table_2__3" ref="A1:G101" tableType="queryTable" totalsRowShown="0">
  <autoFilter ref="A1:G101" xr:uid="{A2A159E1-9084-425E-A850-14D53CA34F4C}"/>
  <tableColumns count="7">
    <tableColumn id="1" xr3:uid="{5D7FAF36-153F-40D6-8031-1D5485DCD06D}" uniqueName="1" name="Date" queryTableFieldId="1" dataDxfId="9"/>
    <tableColumn id="2" xr3:uid="{4D5C8347-291B-4471-9503-ED73C4CA8F44}" uniqueName="2" name="Open" queryTableFieldId="2"/>
    <tableColumn id="3" xr3:uid="{3FE498FC-575C-4D0A-8203-21038FF8B010}" uniqueName="3" name="High" queryTableFieldId="3"/>
    <tableColumn id="4" xr3:uid="{A24AABF0-E527-4ECE-989C-87B2034A98D1}" uniqueName="4" name="Low" queryTableFieldId="4"/>
    <tableColumn id="5" xr3:uid="{87C7C4C3-199C-4EBC-B615-4C6BF8F723E7}" uniqueName="5" name="Close*" queryTableFieldId="5"/>
    <tableColumn id="6" xr3:uid="{F5BB32FC-C806-40CC-86DA-01C7AABD5D2F}" uniqueName="6" name="Adj. close**" queryTableFieldId="6"/>
    <tableColumn id="7" xr3:uid="{F5B82EF4-B9D7-497F-A394-4EE94B981C99}" uniqueName="7" name="Volume" queryTableFieldId="7"/>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9D7C057-3902-4268-B136-2D9806E3CCBD}" name="Table_2" displayName="Table_2" ref="A1:C101" tableType="queryTable" totalsRowShown="0">
  <autoFilter ref="A1:C101" xr:uid="{DEB68DAB-DE70-4766-BB6D-A1AAD5C39B72}"/>
  <tableColumns count="3">
    <tableColumn id="1" xr3:uid="{D3E08CAD-429C-46B4-ADAB-E0E058E76F19}" uniqueName="1" name="Date" queryTableFieldId="1" dataDxfId="8"/>
    <tableColumn id="2" xr3:uid="{86970704-0B60-47DA-BF3F-40BD9774E47D}" uniqueName="2" name="SBI" queryTableFieldId="2"/>
    <tableColumn id="3" xr3:uid="{0A7CC6A5-9A07-4A0E-866C-6BBEAECD70E5}" uniqueName="3" name="Deepak Nitrite" queryTableFieldId="3"/>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0395A7D-6F44-48C9-A2E9-7E38892627CB}" name="Table_2__7" displayName="Table_2__7" ref="A1:G101" tableType="queryTable" totalsRowShown="0">
  <autoFilter ref="A1:G101" xr:uid="{4139CF48-F30A-489F-9691-CF428B90CA8B}"/>
  <tableColumns count="7">
    <tableColumn id="1" xr3:uid="{D0D536DF-CA00-4AB9-A6E5-2735285BBCDF}" uniqueName="1" name="Date" queryTableFieldId="1" dataDxfId="7"/>
    <tableColumn id="2" xr3:uid="{656002E3-4E67-46B0-80E0-8D4A29405B6F}" uniqueName="2" name="Open" queryTableFieldId="2"/>
    <tableColumn id="3" xr3:uid="{416FDB48-5B78-4364-BEA1-BFF40140A513}" uniqueName="3" name="High" queryTableFieldId="3"/>
    <tableColumn id="4" xr3:uid="{6BAD4D37-2C86-4E6A-BDDA-C96A7369E711}" uniqueName="4" name="Low" queryTableFieldId="4"/>
    <tableColumn id="5" xr3:uid="{A767C313-B283-4671-803E-5463D3282FA6}" uniqueName="5" name="Close*" queryTableFieldId="5"/>
    <tableColumn id="6" xr3:uid="{35CD4A50-2BC3-431F-8051-A0AEF3EC6C50}" uniqueName="6" name="Adj. close**" queryTableFieldId="6"/>
    <tableColumn id="7" xr3:uid="{A80F14A0-DE3C-4352-9BCE-DC57AB5F26A8}" uniqueName="7" name="Volume"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BA8CED0-4B15-4F2A-A50C-084BDDE0CBBF}" name="Table_2__6" displayName="Table_2__6" ref="A1:G101" tableType="queryTable" totalsRowShown="0">
  <autoFilter ref="A1:G101" xr:uid="{B6784F04-FD02-462D-BF19-A043BB7F3508}"/>
  <tableColumns count="7">
    <tableColumn id="1" xr3:uid="{89C037E8-7F47-4CEB-9DA2-DB537805D913}" uniqueName="1" name="Date" queryTableFieldId="1" dataDxfId="6"/>
    <tableColumn id="2" xr3:uid="{1BB35FDC-4BCC-46F2-A35D-7F4BA7D73476}" uniqueName="2" name="Open" queryTableFieldId="2"/>
    <tableColumn id="3" xr3:uid="{8B4D3D08-3C08-40BA-B761-C8E22AC230F3}" uniqueName="3" name="High" queryTableFieldId="3"/>
    <tableColumn id="4" xr3:uid="{C4C118B1-FA6F-47DF-B4FF-059AA4A0D083}" uniqueName="4" name="Low" queryTableFieldId="4"/>
    <tableColumn id="5" xr3:uid="{294E2BA7-DE59-4865-B5B3-6F164760D3FC}" uniqueName="5" name="Close*" queryTableFieldId="5"/>
    <tableColumn id="6" xr3:uid="{E8FD2A4F-39C0-4589-80F2-F3DE256A83BE}" uniqueName="6" name="Adj. close**" queryTableFieldId="6"/>
    <tableColumn id="7" xr3:uid="{6AC737CF-B3A0-4C4C-A5B8-EF6E7A98409D}" uniqueName="7" name="Volume" queryTableFieldId="7"/>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DBE4B97-594D-46BF-B95F-5F2210B6C717}" name="Table_2__5" displayName="Table_2__5" ref="A1:G101" tableType="queryTable" totalsRowShown="0">
  <autoFilter ref="A1:G101" xr:uid="{FF5FBEF5-EF20-41F1-A86C-580D49D4F0AB}"/>
  <tableColumns count="7">
    <tableColumn id="1" xr3:uid="{7A4F9AB9-6077-44EE-917C-EA6E4BDE6BF4}" uniqueName="1" name="Date" queryTableFieldId="1" dataDxfId="5"/>
    <tableColumn id="2" xr3:uid="{709C00FD-4A97-4602-8610-B4A18EC7D30C}" uniqueName="2" name="Open" queryTableFieldId="2"/>
    <tableColumn id="3" xr3:uid="{65390E48-FCB9-4AB8-81FC-167D29A37C10}" uniqueName="3" name="High" queryTableFieldId="3"/>
    <tableColumn id="4" xr3:uid="{A24FE625-19F2-44A2-9D69-2A3F2764B30C}" uniqueName="4" name="Low" queryTableFieldId="4"/>
    <tableColumn id="5" xr3:uid="{796204D7-B088-4904-8302-2132B2E90404}" uniqueName="5" name="Close*" queryTableFieldId="5"/>
    <tableColumn id="6" xr3:uid="{38A9C539-E8B2-4A8E-9EA9-D8C27CC1A2B6}" uniqueName="6" name="Adj. close**" queryTableFieldId="6"/>
    <tableColumn id="7" xr3:uid="{5DEEFB08-1001-4544-9342-D06BD60ABB29}" uniqueName="7" name="Volume" queryTableFieldId="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CAAA4C0-2580-4898-B826-50C9D3E849FE}" name="Table_2__4" displayName="Table_2__4" ref="A1:G101" tableType="queryTable" totalsRowShown="0">
  <autoFilter ref="A1:G101" xr:uid="{070CEC7A-4149-45EC-AF8A-B3558AC0426A}"/>
  <tableColumns count="7">
    <tableColumn id="1" xr3:uid="{2EA924F0-F17C-4E19-994F-DD59ABC14306}" uniqueName="1" name="Date" queryTableFieldId="1" dataDxfId="4"/>
    <tableColumn id="2" xr3:uid="{5F3DC209-A071-4B39-9E0B-0DC97234DC6C}" uniqueName="2" name="Open" queryTableFieldId="2"/>
    <tableColumn id="3" xr3:uid="{FE4003FF-6E90-4A9E-A4D3-9B764289BEE6}" uniqueName="3" name="High" queryTableFieldId="3"/>
    <tableColumn id="4" xr3:uid="{ABB06D6D-99D5-4F82-B636-404962F0B745}" uniqueName="4" name="Low" queryTableFieldId="4"/>
    <tableColumn id="5" xr3:uid="{50643B16-F267-4958-A003-4A602E487FFF}" uniqueName="5" name="Close*" queryTableFieldId="5"/>
    <tableColumn id="6" xr3:uid="{7943B1E6-53A3-464B-9942-B735F085C392}" uniqueName="6" name="Adj. close**" queryTableFieldId="6"/>
    <tableColumn id="7" xr3:uid="{02B5D6FC-14EB-4088-B890-A6740C9E5EEE}" uniqueName="7" name="Volume" queryTableFieldId="7"/>
  </tableColumns>
  <tableStyleInfo name="TableStyleMedium7"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Banded">
  <a:themeElements>
    <a:clrScheme name="Banded">
      <a:dk1>
        <a:srgbClr val="2C2C2C"/>
      </a:dk1>
      <a:lt1>
        <a:srgbClr val="FFFFFF"/>
      </a:lt1>
      <a:dk2>
        <a:srgbClr val="099BDD"/>
      </a:dk2>
      <a:lt2>
        <a:srgbClr val="F2F2F2"/>
      </a:lt2>
      <a:accent1>
        <a:srgbClr val="FFC000"/>
      </a:accent1>
      <a:accent2>
        <a:srgbClr val="A5D028"/>
      </a:accent2>
      <a:accent3>
        <a:srgbClr val="08CC78"/>
      </a:accent3>
      <a:accent4>
        <a:srgbClr val="F24099"/>
      </a:accent4>
      <a:accent5>
        <a:srgbClr val="828288"/>
      </a:accent5>
      <a:accent6>
        <a:srgbClr val="F56617"/>
      </a:accent6>
      <a:hlink>
        <a:srgbClr val="005DBA"/>
      </a:hlink>
      <a:folHlink>
        <a:srgbClr val="6C606A"/>
      </a:folHlink>
    </a:clrScheme>
    <a:fontScheme name="Banded">
      <a:maj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orbel" panose="020B0503020204020204"/>
        <a:ea typeface=""/>
        <a:cs typeface=""/>
        <a:font script="Jpan" typeface="ＭＳ ゴシック"/>
        <a:font script="Hang" typeface="맑은 고딕"/>
        <a:font script="Hans" typeface="宋体"/>
        <a:font script="Hant" typeface="新細明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Banded">
      <a:fillStyleLst>
        <a:solidFill>
          <a:schemeClr val="phClr"/>
        </a:solidFill>
        <a:gradFill rotWithShape="1">
          <a:gsLst>
            <a:gs pos="0">
              <a:schemeClr val="phClr">
                <a:tint val="65000"/>
                <a:satMod val="120000"/>
                <a:lumMod val="107000"/>
              </a:schemeClr>
            </a:gs>
            <a:gs pos="50000">
              <a:schemeClr val="phClr">
                <a:tint val="70000"/>
                <a:satMod val="124000"/>
                <a:lumMod val="103000"/>
              </a:schemeClr>
            </a:gs>
            <a:gs pos="100000">
              <a:schemeClr val="phClr">
                <a:tint val="85000"/>
                <a:satMod val="120000"/>
                <a:lumMod val="100000"/>
              </a:schemeClr>
            </a:gs>
          </a:gsLst>
          <a:lin ang="5400000" scaled="0"/>
        </a:gradFill>
        <a:gradFill rotWithShape="1">
          <a:gsLst>
            <a:gs pos="0">
              <a:schemeClr val="phClr">
                <a:tint val="85000"/>
                <a:shade val="98000"/>
                <a:satMod val="110000"/>
                <a:lumMod val="103000"/>
              </a:schemeClr>
            </a:gs>
            <a:gs pos="50000">
              <a:schemeClr val="phClr">
                <a:shade val="85000"/>
                <a:satMod val="105000"/>
                <a:lumMod val="100000"/>
              </a:schemeClr>
            </a:gs>
            <a:gs pos="100000">
              <a:schemeClr val="phClr">
                <a:shade val="60000"/>
                <a:satMod val="120000"/>
                <a:lumMod val="100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25400" cap="flat" cmpd="sng" algn="ctr">
          <a:solidFill>
            <a:schemeClr val="phClr"/>
          </a:solidFill>
          <a:prstDash val="solid"/>
        </a:ln>
      </a:lnStyleLst>
      <a:effectStyleLst>
        <a:effectStyle>
          <a:effectLst/>
        </a:effectStyle>
        <a:effectStyle>
          <a:effectLst>
            <a:outerShdw blurRad="50800" dist="15875" dir="5400000" algn="ctr" rotWithShape="0">
              <a:srgbClr val="000000">
                <a:alpha val="68000"/>
              </a:srgbClr>
            </a:outerShdw>
          </a:effectLst>
        </a:effectStyle>
        <a:effectStyle>
          <a:effectLst>
            <a:outerShdw blurRad="88900" dist="27940" dir="5400000" algn="ctr" rotWithShape="0">
              <a:srgbClr val="000000">
                <a:alpha val="63000"/>
              </a:srgbClr>
            </a:outerShdw>
          </a:effectLst>
        </a:effectStyle>
      </a:effectStyleLst>
      <a:bgFillStyleLst>
        <a:solidFill>
          <a:schemeClr val="phClr"/>
        </a:solidFill>
        <a:blipFill rotWithShape="1">
          <a:blip xmlns:r="http://schemas.openxmlformats.org/officeDocument/2006/relationships" r:embed="rId1">
            <a:duotone>
              <a:schemeClr val="phClr"/>
              <a:schemeClr val="phClr">
                <a:shade val="91000"/>
                <a:satMod val="105000"/>
              </a:schemeClr>
            </a:duotone>
          </a:blip>
          <a:tile tx="0" ty="0" sx="100000" sy="100000" flip="none" algn="tl"/>
        </a:blipFill>
        <a:gradFill rotWithShape="1">
          <a:gsLst>
            <a:gs pos="0">
              <a:schemeClr val="phClr">
                <a:tint val="100000"/>
                <a:shade val="0"/>
                <a:satMod val="100000"/>
              </a:schemeClr>
            </a:gs>
            <a:gs pos="100000">
              <a:schemeClr val="phClr">
                <a:shade val="10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Banded" id="{98DFF888-2449-4D28-977C-6306C017633E}" vid="{9792607F-9579-4224-82FF-9C88C3E1E53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D60D4F-DE55-4D11-B509-00BB2841581C}">
  <sheetPr codeName="Sheet1"/>
  <dimension ref="A1:K21"/>
  <sheetViews>
    <sheetView workbookViewId="0">
      <selection activeCell="D22" sqref="D22:D28"/>
    </sheetView>
  </sheetViews>
  <sheetFormatPr defaultColWidth="8.5" defaultRowHeight="14.5" x14ac:dyDescent="0.35"/>
  <cols>
    <col min="1" max="1" width="9.5" style="7" customWidth="1"/>
    <col min="2" max="2" width="8.5" style="7"/>
    <col min="3" max="3" width="10" style="7" customWidth="1"/>
    <col min="4" max="4" width="13" style="7" customWidth="1"/>
    <col min="5" max="5" width="12" style="7" customWidth="1"/>
    <col min="6" max="9" width="8.5" style="7"/>
    <col min="10" max="10" width="9.58203125" style="7" customWidth="1"/>
    <col min="11" max="11" width="11.08203125" style="7" customWidth="1"/>
    <col min="12" max="16384" width="8.5" style="7"/>
  </cols>
  <sheetData>
    <row r="1" spans="1:11" x14ac:dyDescent="0.35">
      <c r="A1" s="9" t="s">
        <v>0</v>
      </c>
      <c r="B1" s="9" t="s">
        <v>1</v>
      </c>
      <c r="C1" s="9" t="s">
        <v>2</v>
      </c>
      <c r="D1" s="9" t="s">
        <v>3</v>
      </c>
      <c r="E1" s="9" t="s">
        <v>4</v>
      </c>
      <c r="G1" s="9" t="s">
        <v>24</v>
      </c>
      <c r="H1" s="9" t="s">
        <v>1</v>
      </c>
      <c r="I1" s="9" t="s">
        <v>2</v>
      </c>
      <c r="J1" s="9" t="s">
        <v>10</v>
      </c>
      <c r="K1" s="9" t="s">
        <v>17</v>
      </c>
    </row>
    <row r="2" spans="1:11" x14ac:dyDescent="0.35">
      <c r="A2" s="13">
        <v>43983</v>
      </c>
      <c r="B2" s="7">
        <v>2142</v>
      </c>
      <c r="C2" s="7">
        <v>178</v>
      </c>
      <c r="G2" s="7">
        <v>1</v>
      </c>
      <c r="H2" s="10">
        <v>0.1</v>
      </c>
      <c r="I2" s="10">
        <f>1-H2</f>
        <v>0.9</v>
      </c>
      <c r="J2" s="14">
        <f>H2*$D$15+$E$15*I2</f>
        <v>6.7641801174040853E-2</v>
      </c>
      <c r="K2" s="11">
        <f>((H2*$D$17)^2+(I2*$E$17)^2+($E$17*$D$17*H2*I2*$D$18*2))^(1/2)</f>
        <v>0.13470922709474231</v>
      </c>
    </row>
    <row r="3" spans="1:11" x14ac:dyDescent="0.35">
      <c r="A3" s="13">
        <v>44013</v>
      </c>
      <c r="B3" s="7">
        <v>2186</v>
      </c>
      <c r="C3" s="7">
        <v>191</v>
      </c>
      <c r="D3" s="8">
        <v>2.0541549953314586E-2</v>
      </c>
      <c r="E3" s="8">
        <v>7.3033707865168607E-2</v>
      </c>
      <c r="G3" s="7">
        <v>2</v>
      </c>
      <c r="H3" s="14">
        <f>H2+10%</f>
        <v>0.2</v>
      </c>
      <c r="I3" s="10">
        <f t="shared" ref="I3:I15" si="0">1-H3</f>
        <v>0.8</v>
      </c>
      <c r="J3" s="14">
        <f t="shared" ref="J3:J15" si="1">H3*$D$15+$E$15*I3</f>
        <v>6.1451268460207618E-2</v>
      </c>
      <c r="K3" s="11">
        <f t="shared" ref="K3:K15" si="2">((H3*$D$17)^2+(I3*$E$17)^2+($E$17*$D$17*H3*I3*$D$18*2))^(1/2)</f>
        <v>0.11920460523745688</v>
      </c>
    </row>
    <row r="4" spans="1:11" x14ac:dyDescent="0.35">
      <c r="A4" s="13">
        <v>44044</v>
      </c>
      <c r="B4" s="7">
        <v>2103</v>
      </c>
      <c r="C4" s="7">
        <v>212</v>
      </c>
      <c r="D4" s="8">
        <v>-3.7968892955169253E-2</v>
      </c>
      <c r="E4" s="8">
        <v>0.10994764397905765</v>
      </c>
      <c r="G4" s="7">
        <v>3</v>
      </c>
      <c r="H4" s="14">
        <f t="shared" ref="H4:H14" si="3">H3+10%</f>
        <v>0.30000000000000004</v>
      </c>
      <c r="I4" s="10">
        <f t="shared" si="0"/>
        <v>0.7</v>
      </c>
      <c r="J4" s="14">
        <f t="shared" si="1"/>
        <v>5.5260735746374377E-2</v>
      </c>
      <c r="K4" s="11">
        <f t="shared" si="2"/>
        <v>0.1042868805756582</v>
      </c>
    </row>
    <row r="5" spans="1:11" x14ac:dyDescent="0.35">
      <c r="A5" s="13">
        <v>44075</v>
      </c>
      <c r="B5" s="7">
        <v>2054</v>
      </c>
      <c r="C5" s="7">
        <v>185</v>
      </c>
      <c r="D5" s="8">
        <v>-2.3300047551117475E-2</v>
      </c>
      <c r="E5" s="8">
        <v>-0.12735849056603776</v>
      </c>
      <c r="G5" s="7">
        <v>4</v>
      </c>
      <c r="H5" s="14">
        <f t="shared" si="3"/>
        <v>0.4</v>
      </c>
      <c r="I5" s="10">
        <f t="shared" si="0"/>
        <v>0.6</v>
      </c>
      <c r="J5" s="14">
        <f t="shared" si="1"/>
        <v>4.9070203032541143E-2</v>
      </c>
      <c r="K5" s="11">
        <f t="shared" si="2"/>
        <v>9.0247562380453561E-2</v>
      </c>
    </row>
    <row r="6" spans="1:11" x14ac:dyDescent="0.35">
      <c r="A6" s="13">
        <v>44105</v>
      </c>
      <c r="B6" s="7">
        <v>2057</v>
      </c>
      <c r="C6" s="7">
        <v>189</v>
      </c>
      <c r="D6" s="8">
        <v>1.4605647517040854E-3</v>
      </c>
      <c r="E6" s="8">
        <v>2.1621621621621623E-2</v>
      </c>
      <c r="G6" s="7">
        <v>5</v>
      </c>
      <c r="H6" s="14">
        <f t="shared" si="3"/>
        <v>0.5</v>
      </c>
      <c r="I6" s="10">
        <f t="shared" si="0"/>
        <v>0.5</v>
      </c>
      <c r="J6" s="14">
        <f t="shared" si="1"/>
        <v>4.2879670318707902E-2</v>
      </c>
      <c r="K6" s="11">
        <f t="shared" si="2"/>
        <v>7.7565102179103076E-2</v>
      </c>
    </row>
    <row r="7" spans="1:11" x14ac:dyDescent="0.35">
      <c r="A7" s="13">
        <v>44136</v>
      </c>
      <c r="B7" s="7">
        <v>2138</v>
      </c>
      <c r="C7" s="7">
        <v>244</v>
      </c>
      <c r="D7" s="8">
        <v>3.9377734564900235E-2</v>
      </c>
      <c r="E7" s="8">
        <v>0.29100529100529093</v>
      </c>
      <c r="G7" s="7">
        <v>6</v>
      </c>
      <c r="H7" s="14">
        <f t="shared" si="3"/>
        <v>0.6</v>
      </c>
      <c r="I7" s="10">
        <f t="shared" si="0"/>
        <v>0.4</v>
      </c>
      <c r="J7" s="14">
        <f t="shared" si="1"/>
        <v>3.6689137604874668E-2</v>
      </c>
      <c r="K7" s="11">
        <f t="shared" si="2"/>
        <v>6.701433534344825E-2</v>
      </c>
    </row>
    <row r="8" spans="1:11" x14ac:dyDescent="0.35">
      <c r="A8" s="13">
        <v>44166</v>
      </c>
      <c r="B8" s="7">
        <v>2395</v>
      </c>
      <c r="C8" s="7">
        <v>274</v>
      </c>
      <c r="D8" s="8">
        <v>0.12020579981290935</v>
      </c>
      <c r="E8" s="8">
        <v>0.12295081967213117</v>
      </c>
      <c r="G8" s="7">
        <v>7</v>
      </c>
      <c r="H8" s="14">
        <f t="shared" si="3"/>
        <v>0.7</v>
      </c>
      <c r="I8" s="10">
        <f t="shared" si="0"/>
        <v>0.30000000000000004</v>
      </c>
      <c r="J8" s="14">
        <f t="shared" si="1"/>
        <v>3.049860489104143E-2</v>
      </c>
      <c r="K8" s="11">
        <f t="shared" si="2"/>
        <v>5.9735673696897085E-2</v>
      </c>
    </row>
    <row r="9" spans="1:11" x14ac:dyDescent="0.35">
      <c r="A9" s="13">
        <v>44197</v>
      </c>
      <c r="B9" s="7">
        <v>2263</v>
      </c>
      <c r="C9" s="7">
        <v>282</v>
      </c>
      <c r="D9" s="8">
        <v>-5.5114822546972864E-2</v>
      </c>
      <c r="E9" s="8">
        <v>2.9197080291970767E-2</v>
      </c>
      <c r="G9" s="7">
        <v>8</v>
      </c>
      <c r="H9" s="14">
        <f t="shared" si="3"/>
        <v>0.79999999999999993</v>
      </c>
      <c r="I9" s="10">
        <f t="shared" si="0"/>
        <v>0.20000000000000007</v>
      </c>
      <c r="J9" s="14">
        <f t="shared" si="1"/>
        <v>2.4308072177208193E-2</v>
      </c>
      <c r="K9" s="11">
        <f t="shared" si="2"/>
        <v>5.6996787519550389E-2</v>
      </c>
    </row>
    <row r="10" spans="1:11" x14ac:dyDescent="0.35">
      <c r="A10" s="13">
        <v>44228</v>
      </c>
      <c r="B10" s="7">
        <v>2132</v>
      </c>
      <c r="C10" s="7">
        <v>390</v>
      </c>
      <c r="D10" s="8">
        <v>-5.7887759611135681E-2</v>
      </c>
      <c r="E10" s="8">
        <v>0.38297872340425543</v>
      </c>
      <c r="G10" s="7">
        <v>9</v>
      </c>
      <c r="H10" s="14">
        <f t="shared" si="3"/>
        <v>0.89999999999999991</v>
      </c>
      <c r="I10" s="10">
        <f t="shared" si="0"/>
        <v>0.10000000000000009</v>
      </c>
      <c r="J10" s="14">
        <f t="shared" si="1"/>
        <v>1.8117539463374958E-2</v>
      </c>
      <c r="K10" s="11">
        <f t="shared" si="2"/>
        <v>5.9428699868867889E-2</v>
      </c>
    </row>
    <row r="11" spans="1:11" x14ac:dyDescent="0.35">
      <c r="A11" s="13">
        <v>44256</v>
      </c>
      <c r="B11" s="7">
        <v>2431</v>
      </c>
      <c r="C11" s="7">
        <v>364</v>
      </c>
      <c r="D11" s="8">
        <v>0.14024390243902429</v>
      </c>
      <c r="E11" s="8">
        <v>-6.6666666666666652E-2</v>
      </c>
      <c r="G11" s="7">
        <v>10</v>
      </c>
      <c r="H11" s="14">
        <f t="shared" si="3"/>
        <v>0.99999999999999989</v>
      </c>
      <c r="I11" s="10">
        <f t="shared" si="0"/>
        <v>0</v>
      </c>
      <c r="J11" s="14">
        <f t="shared" si="1"/>
        <v>1.1927006749541712E-2</v>
      </c>
      <c r="K11" s="11">
        <f t="shared" si="2"/>
        <v>6.6466235440919688E-2</v>
      </c>
    </row>
    <row r="12" spans="1:11" x14ac:dyDescent="0.35">
      <c r="A12" s="13">
        <v>44287</v>
      </c>
      <c r="B12" s="7">
        <v>2353</v>
      </c>
      <c r="C12" s="7">
        <v>353</v>
      </c>
      <c r="D12" s="8">
        <v>-3.208556149732622E-2</v>
      </c>
      <c r="E12" s="8">
        <v>-3.0219780219780223E-2</v>
      </c>
      <c r="G12" s="7">
        <v>11</v>
      </c>
      <c r="H12" s="14">
        <f t="shared" si="3"/>
        <v>1.0999999999999999</v>
      </c>
      <c r="I12" s="10">
        <f t="shared" si="0"/>
        <v>-9.9999999999999867E-2</v>
      </c>
      <c r="J12" s="14">
        <f t="shared" si="1"/>
        <v>5.7364740357084849E-3</v>
      </c>
      <c r="K12" s="11">
        <f t="shared" si="2"/>
        <v>7.6854434122568024E-2</v>
      </c>
    </row>
    <row r="13" spans="1:11" x14ac:dyDescent="0.35">
      <c r="A13" s="13">
        <v>44317</v>
      </c>
      <c r="B13" s="7">
        <v>2390</v>
      </c>
      <c r="C13" s="7">
        <v>355</v>
      </c>
      <c r="D13" s="8">
        <v>1.5724606884827796E-2</v>
      </c>
      <c r="E13" s="8">
        <v>5.6657223796034994E-3</v>
      </c>
      <c r="G13" s="7">
        <v>12</v>
      </c>
      <c r="H13" s="14">
        <f t="shared" si="3"/>
        <v>1.2</v>
      </c>
      <c r="I13" s="10">
        <f t="shared" si="0"/>
        <v>-0.19999999999999996</v>
      </c>
      <c r="J13" s="14">
        <f t="shared" si="1"/>
        <v>-4.5405867812475971E-4</v>
      </c>
      <c r="K13" s="11">
        <f t="shared" si="2"/>
        <v>8.9433221679312891E-2</v>
      </c>
    </row>
    <row r="14" spans="1:11" x14ac:dyDescent="0.35">
      <c r="G14" s="7">
        <v>13</v>
      </c>
      <c r="H14" s="14">
        <f t="shared" si="3"/>
        <v>1.3</v>
      </c>
      <c r="I14" s="10">
        <f t="shared" si="0"/>
        <v>-0.30000000000000004</v>
      </c>
      <c r="J14" s="14">
        <f t="shared" si="1"/>
        <v>-6.6445913919580026E-3</v>
      </c>
      <c r="K14" s="11">
        <f t="shared" si="2"/>
        <v>0.1034062461392477</v>
      </c>
    </row>
    <row r="15" spans="1:11" x14ac:dyDescent="0.35">
      <c r="C15" t="s">
        <v>5</v>
      </c>
      <c r="D15" s="12">
        <f>AVERAGE(D3:D13)</f>
        <v>1.1927006749541714E-2</v>
      </c>
      <c r="E15" s="12">
        <f>AVERAGE(E3:E13)</f>
        <v>7.3832333887874094E-2</v>
      </c>
      <c r="H15" s="15">
        <v>0</v>
      </c>
      <c r="I15" s="16">
        <f t="shared" si="0"/>
        <v>1</v>
      </c>
      <c r="J15" s="17">
        <f t="shared" si="1"/>
        <v>7.3832333887874094E-2</v>
      </c>
      <c r="K15" s="18">
        <f t="shared" si="2"/>
        <v>0.15061961135302521</v>
      </c>
    </row>
    <row r="16" spans="1:11" x14ac:dyDescent="0.35">
      <c r="C16" t="s">
        <v>7</v>
      </c>
      <c r="D16" s="7">
        <f>_xlfn.VAR.S(D3:D13)</f>
        <v>4.4177604536877694E-3</v>
      </c>
      <c r="E16" s="7">
        <f>_xlfn.VAR.S(E3:E13)</f>
        <v>2.268626732413636E-2</v>
      </c>
    </row>
    <row r="17" spans="3:11" x14ac:dyDescent="0.35">
      <c r="C17" t="s">
        <v>8</v>
      </c>
      <c r="D17" s="7">
        <f>SQRT(D16)</f>
        <v>6.6466235440919702E-2</v>
      </c>
      <c r="E17" s="7">
        <f>SQRT(E16)</f>
        <v>0.15061961135302521</v>
      </c>
      <c r="J17" s="7" t="s">
        <v>18</v>
      </c>
      <c r="K17" s="10">
        <v>0.04</v>
      </c>
    </row>
    <row r="18" spans="3:11" x14ac:dyDescent="0.35">
      <c r="C18" t="s">
        <v>6</v>
      </c>
      <c r="D18" s="7">
        <f>CORREL(D3:D13,E3:E13)</f>
        <v>-0.1517636345212186</v>
      </c>
      <c r="J18" s="7" t="s">
        <v>12</v>
      </c>
      <c r="K18" s="14">
        <f>(J15-K17)/K15</f>
        <v>0.22462104093853491</v>
      </c>
    </row>
    <row r="19" spans="3:11" x14ac:dyDescent="0.35">
      <c r="C19" t="s">
        <v>9</v>
      </c>
      <c r="D19" s="10">
        <v>0.5</v>
      </c>
      <c r="E19" s="10">
        <v>0.5</v>
      </c>
    </row>
    <row r="20" spans="3:11" x14ac:dyDescent="0.35">
      <c r="C20" t="s">
        <v>16</v>
      </c>
      <c r="D20" s="12">
        <f>D19*D15+E19*E15</f>
        <v>4.2879670318707902E-2</v>
      </c>
    </row>
    <row r="21" spans="3:11" x14ac:dyDescent="0.35">
      <c r="C21" t="s">
        <v>11</v>
      </c>
      <c r="D21" s="7">
        <f>((D17*D19)^2+(E17*E19)^2+D17*D19*E17*E19*2*D18)^(1/2)</f>
        <v>7.7565102179103076E-2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09A25-1CB9-428B-A422-34018ED0916A}">
  <sheetPr codeName="Sheet2"/>
  <dimension ref="A1:L50"/>
  <sheetViews>
    <sheetView topLeftCell="A13" zoomScale="109" zoomScaleNormal="100" workbookViewId="0">
      <selection activeCell="D22" sqref="D22:D28"/>
    </sheetView>
  </sheetViews>
  <sheetFormatPr defaultColWidth="8.83203125" defaultRowHeight="14.5" x14ac:dyDescent="0.35"/>
  <cols>
    <col min="1" max="11" width="10.5" customWidth="1"/>
  </cols>
  <sheetData>
    <row r="1" spans="1:11" s="19" customFormat="1" x14ac:dyDescent="0.35">
      <c r="A1" s="152" t="s">
        <v>9</v>
      </c>
      <c r="B1" s="153"/>
      <c r="C1" s="153"/>
      <c r="D1" s="153"/>
      <c r="E1" s="153"/>
      <c r="F1" s="153"/>
      <c r="G1" s="153"/>
      <c r="H1" s="153"/>
      <c r="I1" s="153"/>
      <c r="J1" s="153"/>
      <c r="K1" s="154"/>
    </row>
    <row r="2" spans="1:11" s="19" customFormat="1" x14ac:dyDescent="0.35">
      <c r="A2" s="20"/>
      <c r="B2" s="150" t="s">
        <v>23</v>
      </c>
      <c r="C2" s="150"/>
      <c r="D2" s="150"/>
      <c r="E2" s="150"/>
      <c r="F2" s="150"/>
      <c r="G2" s="150" t="s">
        <v>22</v>
      </c>
      <c r="H2" s="150"/>
      <c r="I2" s="150"/>
      <c r="J2" s="150"/>
      <c r="K2" s="151"/>
    </row>
    <row r="3" spans="1:11" x14ac:dyDescent="0.35">
      <c r="A3" s="21" t="s">
        <v>0</v>
      </c>
      <c r="B3" s="22" t="s">
        <v>1</v>
      </c>
      <c r="C3" s="22" t="s">
        <v>2</v>
      </c>
      <c r="D3" s="22" t="s">
        <v>19</v>
      </c>
      <c r="E3" s="22" t="s">
        <v>20</v>
      </c>
      <c r="F3" s="22" t="s">
        <v>21</v>
      </c>
      <c r="G3" s="22" t="s">
        <v>1</v>
      </c>
      <c r="H3" s="22" t="s">
        <v>2</v>
      </c>
      <c r="I3" s="22" t="s">
        <v>19</v>
      </c>
      <c r="J3" s="22" t="s">
        <v>20</v>
      </c>
      <c r="K3" s="23" t="s">
        <v>21</v>
      </c>
    </row>
    <row r="4" spans="1:11" x14ac:dyDescent="0.35">
      <c r="A4" s="24">
        <v>43983</v>
      </c>
      <c r="B4" s="25">
        <v>2142</v>
      </c>
      <c r="C4" s="25">
        <v>178</v>
      </c>
      <c r="D4" s="26">
        <v>474.65</v>
      </c>
      <c r="E4" s="26">
        <v>475.05</v>
      </c>
      <c r="F4" s="26">
        <v>161.5</v>
      </c>
      <c r="G4" s="26"/>
      <c r="H4" s="26"/>
      <c r="I4" s="26"/>
      <c r="J4" s="26"/>
      <c r="K4" s="27"/>
    </row>
    <row r="5" spans="1:11" x14ac:dyDescent="0.35">
      <c r="A5" s="24">
        <v>44013</v>
      </c>
      <c r="B5" s="25">
        <v>2186</v>
      </c>
      <c r="C5" s="25">
        <v>191</v>
      </c>
      <c r="D5" s="26">
        <v>523.6</v>
      </c>
      <c r="E5" s="26">
        <v>643.15</v>
      </c>
      <c r="F5" s="26">
        <v>184.85</v>
      </c>
      <c r="G5" s="28">
        <f>(B5-B4)/B4</f>
        <v>2.0541549953314659E-2</v>
      </c>
      <c r="H5" s="28">
        <f t="shared" ref="H5:K15" si="0">(C5-C4)/C4</f>
        <v>7.3033707865168537E-2</v>
      </c>
      <c r="I5" s="28">
        <f t="shared" si="0"/>
        <v>0.10312862108922374</v>
      </c>
      <c r="J5" s="28">
        <f t="shared" si="0"/>
        <v>0.35385748868540146</v>
      </c>
      <c r="K5" s="29">
        <f t="shared" si="0"/>
        <v>0.14458204334365321</v>
      </c>
    </row>
    <row r="6" spans="1:11" x14ac:dyDescent="0.35">
      <c r="A6" s="24">
        <v>44044</v>
      </c>
      <c r="B6" s="25">
        <v>2103</v>
      </c>
      <c r="C6" s="25">
        <v>212</v>
      </c>
      <c r="D6" s="26">
        <v>630.04999999999995</v>
      </c>
      <c r="E6" s="26">
        <v>683.45</v>
      </c>
      <c r="F6" s="26">
        <v>205.1</v>
      </c>
      <c r="G6" s="28">
        <f t="shared" ref="G6:G15" si="1">(B6-B5)/B5</f>
        <v>-3.796889295516926E-2</v>
      </c>
      <c r="H6" s="28">
        <f t="shared" si="0"/>
        <v>0.1099476439790576</v>
      </c>
      <c r="I6" s="28">
        <f t="shared" si="0"/>
        <v>0.20330404889228404</v>
      </c>
      <c r="J6" s="28">
        <f t="shared" si="0"/>
        <v>6.2660343621239317E-2</v>
      </c>
      <c r="K6" s="29">
        <f t="shared" si="0"/>
        <v>0.10954828239112795</v>
      </c>
    </row>
    <row r="7" spans="1:11" x14ac:dyDescent="0.35">
      <c r="A7" s="24">
        <v>44075</v>
      </c>
      <c r="B7" s="25">
        <v>2054</v>
      </c>
      <c r="C7" s="25">
        <v>185</v>
      </c>
      <c r="D7" s="26">
        <v>526.75</v>
      </c>
      <c r="E7" s="26">
        <v>821.2</v>
      </c>
      <c r="F7" s="26">
        <v>186.85</v>
      </c>
      <c r="G7" s="28">
        <f t="shared" si="1"/>
        <v>-2.3300047551117451E-2</v>
      </c>
      <c r="H7" s="28">
        <f t="shared" si="0"/>
        <v>-0.12735849056603774</v>
      </c>
      <c r="I7" s="28">
        <f t="shared" si="0"/>
        <v>-0.16395524164748823</v>
      </c>
      <c r="J7" s="28">
        <f t="shared" si="0"/>
        <v>0.20155095471504864</v>
      </c>
      <c r="K7" s="29">
        <f t="shared" si="0"/>
        <v>-8.8980984885421749E-2</v>
      </c>
    </row>
    <row r="8" spans="1:11" x14ac:dyDescent="0.35">
      <c r="A8" s="24">
        <v>44105</v>
      </c>
      <c r="B8" s="25">
        <v>2057</v>
      </c>
      <c r="C8" s="25">
        <v>189</v>
      </c>
      <c r="D8" s="26">
        <v>585.6</v>
      </c>
      <c r="E8" s="26">
        <v>742.25</v>
      </c>
      <c r="F8" s="26">
        <v>191.5</v>
      </c>
      <c r="G8" s="28">
        <f t="shared" si="1"/>
        <v>1.4605647517039922E-3</v>
      </c>
      <c r="H8" s="28">
        <f t="shared" si="0"/>
        <v>2.1621621621621623E-2</v>
      </c>
      <c r="I8" s="28">
        <f t="shared" si="0"/>
        <v>0.1117228286663503</v>
      </c>
      <c r="J8" s="28">
        <f t="shared" si="0"/>
        <v>-9.6139795421334676E-2</v>
      </c>
      <c r="K8" s="29">
        <f t="shared" si="0"/>
        <v>2.4886272411024916E-2</v>
      </c>
    </row>
    <row r="9" spans="1:11" x14ac:dyDescent="0.35">
      <c r="A9" s="24">
        <v>44136</v>
      </c>
      <c r="B9" s="25">
        <v>2138</v>
      </c>
      <c r="C9" s="25">
        <v>244</v>
      </c>
      <c r="D9" s="26">
        <v>857.65</v>
      </c>
      <c r="E9" s="26">
        <v>865.1</v>
      </c>
      <c r="F9" s="26">
        <v>244</v>
      </c>
      <c r="G9" s="28">
        <f t="shared" si="1"/>
        <v>3.9377734564900339E-2</v>
      </c>
      <c r="H9" s="28">
        <f t="shared" si="0"/>
        <v>0.29100529100529099</v>
      </c>
      <c r="I9" s="28">
        <f t="shared" si="0"/>
        <v>0.46456625683060099</v>
      </c>
      <c r="J9" s="28">
        <f t="shared" si="0"/>
        <v>0.16551027281913105</v>
      </c>
      <c r="K9" s="29">
        <f t="shared" si="0"/>
        <v>0.27415143603133157</v>
      </c>
    </row>
    <row r="10" spans="1:11" x14ac:dyDescent="0.35">
      <c r="A10" s="24">
        <v>44166</v>
      </c>
      <c r="B10" s="25">
        <v>2395</v>
      </c>
      <c r="C10" s="25">
        <v>274</v>
      </c>
      <c r="D10" s="26">
        <v>894.95</v>
      </c>
      <c r="E10" s="26">
        <v>941.85</v>
      </c>
      <c r="F10" s="26">
        <v>266.45</v>
      </c>
      <c r="G10" s="28">
        <f t="shared" si="1"/>
        <v>0.12020579981290926</v>
      </c>
      <c r="H10" s="28">
        <f t="shared" si="0"/>
        <v>0.12295081967213115</v>
      </c>
      <c r="I10" s="28">
        <f t="shared" si="0"/>
        <v>4.3490934530402925E-2</v>
      </c>
      <c r="J10" s="28">
        <f t="shared" si="0"/>
        <v>8.8718067275459486E-2</v>
      </c>
      <c r="K10" s="29">
        <f t="shared" si="0"/>
        <v>9.2008196721311428E-2</v>
      </c>
    </row>
    <row r="11" spans="1:11" x14ac:dyDescent="0.35">
      <c r="A11" s="24">
        <v>44197</v>
      </c>
      <c r="B11" s="25">
        <v>2263</v>
      </c>
      <c r="C11" s="25">
        <v>282</v>
      </c>
      <c r="D11" s="26">
        <v>846.25</v>
      </c>
      <c r="E11" s="26">
        <v>971.55</v>
      </c>
      <c r="F11" s="26">
        <v>261.75</v>
      </c>
      <c r="G11" s="28">
        <f t="shared" si="1"/>
        <v>-5.5114822546972857E-2</v>
      </c>
      <c r="H11" s="28">
        <f t="shared" si="0"/>
        <v>2.9197080291970802E-2</v>
      </c>
      <c r="I11" s="28">
        <f t="shared" si="0"/>
        <v>-5.4416447846248439E-2</v>
      </c>
      <c r="J11" s="28">
        <f t="shared" si="0"/>
        <v>3.1533683707596676E-2</v>
      </c>
      <c r="K11" s="29">
        <f t="shared" si="0"/>
        <v>-1.7639331957215197E-2</v>
      </c>
    </row>
    <row r="12" spans="1:11" x14ac:dyDescent="0.35">
      <c r="A12" s="24">
        <v>44228</v>
      </c>
      <c r="B12" s="25">
        <v>2132</v>
      </c>
      <c r="C12" s="25">
        <v>390</v>
      </c>
      <c r="D12" s="26">
        <v>1063.3</v>
      </c>
      <c r="E12" s="26">
        <v>1368.65</v>
      </c>
      <c r="F12" s="26">
        <v>335.9</v>
      </c>
      <c r="G12" s="28">
        <f t="shared" si="1"/>
        <v>-5.788775961113566E-2</v>
      </c>
      <c r="H12" s="28">
        <f t="shared" si="0"/>
        <v>0.38297872340425532</v>
      </c>
      <c r="I12" s="28">
        <f t="shared" si="0"/>
        <v>0.25648449039881827</v>
      </c>
      <c r="J12" s="28">
        <f t="shared" si="0"/>
        <v>0.40872832072461546</v>
      </c>
      <c r="K12" s="29">
        <f t="shared" si="0"/>
        <v>0.2832855778414517</v>
      </c>
    </row>
    <row r="13" spans="1:11" x14ac:dyDescent="0.35">
      <c r="A13" s="24">
        <v>44256</v>
      </c>
      <c r="B13" s="25">
        <v>2431</v>
      </c>
      <c r="C13" s="25">
        <v>364</v>
      </c>
      <c r="D13" s="26">
        <v>954</v>
      </c>
      <c r="E13" s="26">
        <v>1656.6</v>
      </c>
      <c r="F13" s="26">
        <v>343.6</v>
      </c>
      <c r="G13" s="28">
        <f t="shared" si="1"/>
        <v>0.1402439024390244</v>
      </c>
      <c r="H13" s="28">
        <f t="shared" si="0"/>
        <v>-6.6666666666666666E-2</v>
      </c>
      <c r="I13" s="28">
        <f t="shared" si="0"/>
        <v>-0.1027931910091225</v>
      </c>
      <c r="J13" s="28">
        <f t="shared" si="0"/>
        <v>0.21038980016804867</v>
      </c>
      <c r="K13" s="29">
        <f t="shared" si="0"/>
        <v>2.2923489133670871E-2</v>
      </c>
    </row>
    <row r="14" spans="1:11" x14ac:dyDescent="0.35">
      <c r="A14" s="24">
        <v>44287</v>
      </c>
      <c r="B14" s="25">
        <v>2353</v>
      </c>
      <c r="C14" s="25">
        <v>353</v>
      </c>
      <c r="D14" s="26">
        <v>934.95</v>
      </c>
      <c r="E14" s="26">
        <v>1865.6</v>
      </c>
      <c r="F14" s="26">
        <v>441.5</v>
      </c>
      <c r="G14" s="28">
        <f t="shared" si="1"/>
        <v>-3.2085561497326207E-2</v>
      </c>
      <c r="H14" s="28">
        <f t="shared" si="0"/>
        <v>-3.021978021978022E-2</v>
      </c>
      <c r="I14" s="28">
        <f t="shared" si="0"/>
        <v>-1.9968553459119451E-2</v>
      </c>
      <c r="J14" s="28">
        <f t="shared" si="0"/>
        <v>0.12616201859229748</v>
      </c>
      <c r="K14" s="29">
        <f t="shared" si="0"/>
        <v>0.2849243306169964</v>
      </c>
    </row>
    <row r="15" spans="1:11" ht="15" thickBot="1" x14ac:dyDescent="0.4">
      <c r="A15" s="30">
        <v>44317</v>
      </c>
      <c r="B15" s="31">
        <v>2390</v>
      </c>
      <c r="C15" s="31">
        <v>355</v>
      </c>
      <c r="D15" s="32">
        <v>974.5</v>
      </c>
      <c r="E15" s="32">
        <v>1794.3</v>
      </c>
      <c r="F15" s="32">
        <v>439.4</v>
      </c>
      <c r="G15" s="33">
        <f t="shared" si="1"/>
        <v>1.572460688482788E-2</v>
      </c>
      <c r="H15" s="33">
        <f t="shared" si="0"/>
        <v>5.6657223796033997E-3</v>
      </c>
      <c r="I15" s="33">
        <f t="shared" si="0"/>
        <v>4.2301727365099684E-2</v>
      </c>
      <c r="J15" s="33">
        <f t="shared" si="0"/>
        <v>-3.8218267581475104E-2</v>
      </c>
      <c r="K15" s="34">
        <f t="shared" si="0"/>
        <v>-4.7565118912797797E-3</v>
      </c>
    </row>
    <row r="16" spans="1:11" ht="15" thickBot="1" x14ac:dyDescent="0.4">
      <c r="A16" s="38"/>
      <c r="B16" s="25"/>
      <c r="C16" s="25"/>
      <c r="D16" s="26"/>
      <c r="E16" s="26"/>
      <c r="F16" s="32"/>
      <c r="G16" s="33"/>
      <c r="H16" s="33"/>
      <c r="I16" s="33"/>
      <c r="J16" s="33"/>
      <c r="K16" s="33"/>
    </row>
    <row r="17" spans="1:12" ht="15" thickBot="1" x14ac:dyDescent="0.4">
      <c r="F17" s="155" t="s">
        <v>26</v>
      </c>
      <c r="G17" s="155"/>
      <c r="H17" s="155"/>
      <c r="I17" s="155"/>
      <c r="J17" s="155"/>
      <c r="K17" s="155"/>
    </row>
    <row r="18" spans="1:12" x14ac:dyDescent="0.35">
      <c r="C18" t="s">
        <v>5</v>
      </c>
      <c r="D18" t="s">
        <v>25</v>
      </c>
      <c r="F18" s="37"/>
      <c r="G18" s="37" t="s">
        <v>1</v>
      </c>
      <c r="H18" s="37" t="s">
        <v>2</v>
      </c>
      <c r="I18" s="37" t="s">
        <v>19</v>
      </c>
      <c r="J18" s="37" t="s">
        <v>20</v>
      </c>
      <c r="K18" s="37" t="s">
        <v>21</v>
      </c>
    </row>
    <row r="19" spans="1:12" x14ac:dyDescent="0.35">
      <c r="A19" t="str">
        <f t="array" ref="A19:A23">TRANSPOSE(B3:F3)</f>
        <v>HUL</v>
      </c>
      <c r="C19" s="3">
        <f>AVERAGE(G5:G15)</f>
        <v>1.1927006749541735E-2</v>
      </c>
      <c r="D19" s="39">
        <v>0.34710546983389357</v>
      </c>
      <c r="F19" s="35" t="s">
        <v>1</v>
      </c>
      <c r="G19" s="35">
        <v>4.0161458669888822E-3</v>
      </c>
      <c r="H19" s="35">
        <v>-1.3812033970933288E-3</v>
      </c>
      <c r="I19" s="35">
        <v>-1.2360274885430908E-3</v>
      </c>
      <c r="J19" s="35">
        <v>-1.2481362715951579E-4</v>
      </c>
      <c r="K19" s="35">
        <v>-1.0972753554563815E-3</v>
      </c>
    </row>
    <row r="20" spans="1:12" x14ac:dyDescent="0.35">
      <c r="A20" t="str">
        <v>SBI</v>
      </c>
      <c r="C20" s="3">
        <f>AVERAGE(H5:H15)</f>
        <v>7.383233388787408E-2</v>
      </c>
      <c r="D20" s="39">
        <v>0</v>
      </c>
      <c r="F20" s="35" t="s">
        <v>2</v>
      </c>
      <c r="G20" s="35">
        <v>-1.3812033970933288E-3</v>
      </c>
      <c r="H20" s="35">
        <v>2.0623879385578511E-2</v>
      </c>
      <c r="I20" s="35">
        <v>2.1163392498303211E-2</v>
      </c>
      <c r="J20" s="35">
        <v>8.3290339969423217E-3</v>
      </c>
      <c r="K20" s="35">
        <v>1.2756535540246096E-2</v>
      </c>
    </row>
    <row r="21" spans="1:12" x14ac:dyDescent="0.35">
      <c r="A21" t="str">
        <v>IndusInd</v>
      </c>
      <c r="C21" s="3">
        <f>AVERAGE(I5:I15)</f>
        <v>8.0351406710072848E-2</v>
      </c>
      <c r="D21" s="39">
        <v>2.7448938949115889E-2</v>
      </c>
      <c r="F21" s="35" t="s">
        <v>19</v>
      </c>
      <c r="G21" s="35">
        <v>-1.2360274885430908E-3</v>
      </c>
      <c r="H21" s="35">
        <v>2.1163392498303211E-2</v>
      </c>
      <c r="I21" s="35">
        <v>2.9047714335992944E-2</v>
      </c>
      <c r="J21" s="35">
        <v>3.8032635131107998E-3</v>
      </c>
      <c r="K21" s="35">
        <v>1.4626875327417436E-2</v>
      </c>
    </row>
    <row r="22" spans="1:12" x14ac:dyDescent="0.35">
      <c r="A22" t="str">
        <v>Deepak Nitrite</v>
      </c>
      <c r="C22" s="3">
        <f>AVERAGE(J5:J15)</f>
        <v>0.13770480793691167</v>
      </c>
      <c r="D22" s="39">
        <v>0.34444806487409424</v>
      </c>
      <c r="F22" s="35" t="s">
        <v>20</v>
      </c>
      <c r="G22" s="35">
        <v>-1.2481362715951579E-4</v>
      </c>
      <c r="H22" s="35">
        <v>8.3290339969423217E-3</v>
      </c>
      <c r="I22" s="35">
        <v>3.8032635131107998E-3</v>
      </c>
      <c r="J22" s="35">
        <v>2.1397950120051853E-2</v>
      </c>
      <c r="K22" s="35">
        <v>8.4099917688254828E-3</v>
      </c>
    </row>
    <row r="23" spans="1:12" ht="15" thickBot="1" x14ac:dyDescent="0.4">
      <c r="A23" t="str">
        <v>Jindal Steel</v>
      </c>
      <c r="C23" s="3">
        <f>AVERAGE(K5:K15)</f>
        <v>0.10226661815969558</v>
      </c>
      <c r="D23" s="39">
        <v>0.28099752634289665</v>
      </c>
      <c r="F23" s="36" t="s">
        <v>21</v>
      </c>
      <c r="G23" s="36">
        <v>-1.0972753554563815E-3</v>
      </c>
      <c r="H23" s="36">
        <v>1.2756535540246096E-2</v>
      </c>
      <c r="I23" s="36">
        <v>1.4626875327417436E-2</v>
      </c>
      <c r="J23" s="36">
        <v>8.4099917688254828E-3</v>
      </c>
      <c r="K23" s="36">
        <v>1.566500275397497E-2</v>
      </c>
    </row>
    <row r="24" spans="1:12" x14ac:dyDescent="0.35">
      <c r="D24" s="6">
        <f>SUM(D19:D23)</f>
        <v>1.0000000000000004</v>
      </c>
    </row>
    <row r="25" spans="1:12" x14ac:dyDescent="0.35">
      <c r="A25" t="s">
        <v>27</v>
      </c>
      <c r="C25">
        <f>SUMPRODUCT(C19:C23,D19:D23)</f>
        <v>8.2514311486828126E-2</v>
      </c>
    </row>
    <row r="26" spans="1:12" x14ac:dyDescent="0.35">
      <c r="A26" t="s">
        <v>28</v>
      </c>
      <c r="C26">
        <f t="array" ref="C26">MMULT(TRANSPOSE(D19:D23),MMULT(G19:K23,D19:D23))</f>
        <v>5.9395099772693322E-3</v>
      </c>
    </row>
    <row r="28" spans="1:12" x14ac:dyDescent="0.35">
      <c r="A28" t="s">
        <v>1</v>
      </c>
      <c r="C28" s="2">
        <v>0.35</v>
      </c>
      <c r="D28" s="3">
        <f>C28-5%</f>
        <v>0.3</v>
      </c>
      <c r="E28" s="3">
        <f>D28-5%</f>
        <v>0.25</v>
      </c>
      <c r="F28" s="3">
        <f>E28-5%</f>
        <v>0.2</v>
      </c>
      <c r="G28" s="3">
        <f>F28-5%</f>
        <v>0.15000000000000002</v>
      </c>
      <c r="H28" s="3">
        <f>G28+4%</f>
        <v>0.19000000000000003</v>
      </c>
      <c r="I28" s="3">
        <v>0.24</v>
      </c>
      <c r="J28" s="3">
        <f>I28+4%</f>
        <v>0.27999999999999997</v>
      </c>
      <c r="K28" s="3">
        <f>J28+4%</f>
        <v>0.31999999999999995</v>
      </c>
      <c r="L28" s="2">
        <v>0.27</v>
      </c>
    </row>
    <row r="29" spans="1:12" x14ac:dyDescent="0.35">
      <c r="A29" t="s">
        <v>2</v>
      </c>
      <c r="C29" s="2">
        <v>0.2</v>
      </c>
      <c r="D29" s="1">
        <f>C29+10%</f>
        <v>0.30000000000000004</v>
      </c>
      <c r="E29" s="1">
        <f>D29+10%</f>
        <v>0.4</v>
      </c>
      <c r="F29" s="1">
        <v>0.35</v>
      </c>
      <c r="G29" s="1">
        <v>0.27</v>
      </c>
      <c r="H29" s="1">
        <v>0.25</v>
      </c>
      <c r="I29" s="1">
        <v>0.11</v>
      </c>
      <c r="J29" s="1">
        <v>0.21</v>
      </c>
      <c r="K29" s="1">
        <v>0.17</v>
      </c>
      <c r="L29" s="2">
        <v>0.25</v>
      </c>
    </row>
    <row r="30" spans="1:12" x14ac:dyDescent="0.35">
      <c r="A30" t="s">
        <v>19</v>
      </c>
      <c r="C30" s="2">
        <v>0.15</v>
      </c>
      <c r="D30" s="2">
        <f>C30</f>
        <v>0.15</v>
      </c>
      <c r="E30" s="1">
        <f>D30+5%</f>
        <v>0.2</v>
      </c>
      <c r="F30" s="1">
        <f>E30+5%</f>
        <v>0.25</v>
      </c>
      <c r="G30" s="1">
        <v>0.19</v>
      </c>
      <c r="H30" s="1">
        <v>0.16</v>
      </c>
      <c r="I30" s="1">
        <v>0.25</v>
      </c>
      <c r="J30" s="2">
        <v>0.1</v>
      </c>
      <c r="K30" s="2">
        <v>0.1</v>
      </c>
      <c r="L30" s="2">
        <v>0.13</v>
      </c>
    </row>
    <row r="31" spans="1:12" x14ac:dyDescent="0.35">
      <c r="A31" t="s">
        <v>20</v>
      </c>
      <c r="C31" s="2">
        <v>0.1</v>
      </c>
      <c r="D31" s="2">
        <v>0.3</v>
      </c>
      <c r="E31" s="3">
        <f>D31+5%</f>
        <v>0.35</v>
      </c>
      <c r="F31" s="3">
        <v>0.1</v>
      </c>
      <c r="G31" s="3">
        <f>F31+4%</f>
        <v>0.14000000000000001</v>
      </c>
      <c r="H31" s="3">
        <f>G31+4%</f>
        <v>0.18000000000000002</v>
      </c>
      <c r="I31" s="3">
        <f>H31+4%</f>
        <v>0.22000000000000003</v>
      </c>
      <c r="J31" s="3">
        <f>I31+4%</f>
        <v>0.26</v>
      </c>
      <c r="K31" s="3">
        <f>J31+3%</f>
        <v>0.29000000000000004</v>
      </c>
      <c r="L31" s="2">
        <v>0.15</v>
      </c>
    </row>
    <row r="32" spans="1:12" x14ac:dyDescent="0.35">
      <c r="A32" t="s">
        <v>21</v>
      </c>
      <c r="C32" s="2">
        <v>0.2</v>
      </c>
      <c r="D32" s="2">
        <v>-0.05</v>
      </c>
      <c r="E32" s="2">
        <v>-0.2</v>
      </c>
      <c r="F32" s="2">
        <v>0.1</v>
      </c>
      <c r="G32" s="2">
        <v>0.25</v>
      </c>
      <c r="H32" s="3">
        <f>G32-3%</f>
        <v>0.22</v>
      </c>
      <c r="I32" s="3">
        <f>H32-3%</f>
        <v>0.19</v>
      </c>
      <c r="J32" s="3">
        <f>I32-3%</f>
        <v>0.16</v>
      </c>
      <c r="K32" s="3">
        <f>J32-3%</f>
        <v>0.13</v>
      </c>
      <c r="L32" s="2">
        <v>0.2</v>
      </c>
    </row>
    <row r="33" spans="1:12" x14ac:dyDescent="0.35">
      <c r="C33" s="2">
        <f t="shared" ref="C33:L33" si="2">SUM(C28:C32)</f>
        <v>1</v>
      </c>
      <c r="D33" s="2">
        <f t="shared" si="2"/>
        <v>1</v>
      </c>
      <c r="E33" s="2">
        <f t="shared" si="2"/>
        <v>1.0000000000000002</v>
      </c>
      <c r="F33" s="2">
        <f t="shared" si="2"/>
        <v>1</v>
      </c>
      <c r="G33" s="2">
        <f t="shared" si="2"/>
        <v>1</v>
      </c>
      <c r="H33" s="2">
        <f t="shared" si="2"/>
        <v>1.0000000000000002</v>
      </c>
      <c r="I33" s="2">
        <f t="shared" si="2"/>
        <v>1.01</v>
      </c>
      <c r="J33" s="2">
        <f t="shared" si="2"/>
        <v>1.01</v>
      </c>
      <c r="K33" s="2">
        <f t="shared" si="2"/>
        <v>1.01</v>
      </c>
      <c r="L33" s="2">
        <f t="shared" si="2"/>
        <v>1</v>
      </c>
    </row>
    <row r="34" spans="1:12" x14ac:dyDescent="0.35">
      <c r="A34" t="s">
        <v>27</v>
      </c>
      <c r="C34">
        <f t="shared" ref="C34:L34" si="3">SUMPRODUCT(C28:C32,$C$19:$C$23)</f>
        <v>6.521743457205563E-2</v>
      </c>
      <c r="D34">
        <f t="shared" si="3"/>
        <v>7.3978624670824403E-2</v>
      </c>
      <c r="E34">
        <f t="shared" si="3"/>
        <v>7.6328325730529598E-2</v>
      </c>
      <c r="F34">
        <f t="shared" si="3"/>
        <v>7.2311712497843211E-2</v>
      </c>
      <c r="G34">
        <f t="shared" si="3"/>
        <v>8.1835876088162632E-2</v>
      </c>
      <c r="H34">
        <f t="shared" si="3"/>
        <v>8.0865961251770244E-2</v>
      </c>
      <c r="I34">
        <f t="shared" si="3"/>
        <v>8.0797605221537103E-2</v>
      </c>
      <c r="J34">
        <f t="shared" si="3"/>
        <v>7.9045401646480856E-2</v>
      </c>
      <c r="K34">
        <f t="shared" si="3"/>
        <v>7.7632334254264038E-2</v>
      </c>
      <c r="L34">
        <f t="shared" si="3"/>
        <v>7.3233102989130133E-2</v>
      </c>
    </row>
    <row r="35" spans="1:12" x14ac:dyDescent="0.35">
      <c r="A35" t="s">
        <v>28</v>
      </c>
      <c r="C35">
        <f t="array" ref="C35">MMULT(TRANSPOSE(C28:C32),MMULT($G$19:$K$23,C28:C32))</f>
        <v>6.2771772112804498E-3</v>
      </c>
      <c r="D35">
        <f t="array" ref="D35">MMULT(TRANSPOSE(D28:D32),MMULT($G$19:$K$23,D28:D32))</f>
        <v>7.3785727966032824E-3</v>
      </c>
      <c r="E35">
        <f t="array" ref="E35">MMULT(TRANSPOSE(E28:E32),MMULT($G$19:$K$23,E28:E32))</f>
        <v>9.5107637646437218E-3</v>
      </c>
      <c r="F35">
        <f t="array" ref="F35">MMULT(TRANSPOSE(F28:F32),MMULT($G$19:$K$23,F28:F32))</f>
        <v>1.0776618282609909E-2</v>
      </c>
      <c r="G35">
        <f t="array" ref="G35">MMULT(TRANSPOSE(G28:G32),MMULT($G$19:$K$23,G28:G32))</f>
        <v>1.0474817742458184E-2</v>
      </c>
      <c r="H35">
        <f t="array" ref="H35">MMULT(TRANSPOSE(H28:H32),MMULT($G$19:$K$23,H28:H32))</f>
        <v>9.0832169842517789E-3</v>
      </c>
      <c r="I35">
        <f t="array" ref="I35">MMULT(TRANSPOSE(I28:I32),MMULT($G$19:$K$23,I28:I32))</f>
        <v>8.1743482771568857E-3</v>
      </c>
      <c r="J35">
        <f t="array" ref="J35">MMULT(TRANSPOSE(J28:J32),MMULT($G$19:$K$23,J28:J32))</f>
        <v>7.0354189780580034E-3</v>
      </c>
      <c r="K35">
        <f t="array" ref="K35">MMULT(TRANSPOSE(K28:K32),MMULT($G$19:$K$23,K28:K32))</f>
        <v>6.3578657279384802E-3</v>
      </c>
      <c r="L35">
        <f t="array" ref="L35">MMULT(TRANSPOSE(L28:L32),MMULT($G$19:$K$23,L28:L32))</f>
        <v>7.4683585412996072E-3</v>
      </c>
    </row>
    <row r="38" spans="1:12" x14ac:dyDescent="0.35">
      <c r="A38" t="s">
        <v>18</v>
      </c>
      <c r="B38" s="5">
        <v>0.04</v>
      </c>
    </row>
    <row r="39" spans="1:12" x14ac:dyDescent="0.35">
      <c r="A39" t="s">
        <v>29</v>
      </c>
      <c r="B39" s="4">
        <f>(C25-B38)/C26</f>
        <v>7.1578819885026821</v>
      </c>
    </row>
    <row r="49" spans="1:8" x14ac:dyDescent="0.35">
      <c r="A49" t="s">
        <v>30</v>
      </c>
      <c r="B49" t="s">
        <v>31</v>
      </c>
      <c r="C49" t="s">
        <v>30</v>
      </c>
      <c r="D49" t="s">
        <v>31</v>
      </c>
      <c r="E49" t="s">
        <v>30</v>
      </c>
      <c r="F49" t="s">
        <v>31</v>
      </c>
      <c r="G49" t="s">
        <v>30</v>
      </c>
      <c r="H49" t="s">
        <v>31</v>
      </c>
    </row>
    <row r="50" spans="1:8" x14ac:dyDescent="0.35">
      <c r="A50" s="3">
        <v>5.0000000000000001E-3</v>
      </c>
      <c r="B50" s="3">
        <v>5.0000000000000001E-3</v>
      </c>
      <c r="C50" s="2">
        <v>0.01</v>
      </c>
      <c r="D50" s="2">
        <v>0.01</v>
      </c>
      <c r="E50" s="2">
        <v>0.02</v>
      </c>
      <c r="F50" s="2">
        <v>0.02</v>
      </c>
      <c r="G50" s="2">
        <v>0.03</v>
      </c>
      <c r="H50" s="2">
        <v>0.03</v>
      </c>
    </row>
  </sheetData>
  <mergeCells count="4">
    <mergeCell ref="B2:F2"/>
    <mergeCell ref="G2:K2"/>
    <mergeCell ref="A1:K1"/>
    <mergeCell ref="F17:K17"/>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02151-9E6A-4EE9-816A-9F6C9AB5E15F}">
  <sheetPr codeName="Sheet13"/>
  <dimension ref="A1:R28"/>
  <sheetViews>
    <sheetView showGridLines="0" workbookViewId="0">
      <selection activeCell="S1" sqref="S1:XFD1048576"/>
    </sheetView>
  </sheetViews>
  <sheetFormatPr defaultColWidth="0" defaultRowHeight="14.5" zeroHeight="1" x14ac:dyDescent="0.35"/>
  <cols>
    <col min="1" max="18" width="9" customWidth="1"/>
    <col min="19" max="16384" width="9"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sheetData>
  <sheetProtection algorithmName="SHA-512" hashValue="/cgs0+9yrfnnCrf7Gt1TVJnS1ieEk0hjGuAhopEY0brHWW23XpNWlXoqIC+juqch9cspKfaqwWz7WcXtsRNhgg==" saltValue="DONJrla3SMD7/BXJWdkmRQ==" spinCount="100000" sheet="1" objects="1" scenarios="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4B5EF8-3CB4-49BD-9EA1-B3F153D30B1C}">
  <sheetPr codeName="Sheet16"/>
  <dimension ref="A1:I11"/>
  <sheetViews>
    <sheetView showGridLines="0" workbookViewId="0">
      <selection activeCell="A12" sqref="A12:XFD1048576"/>
    </sheetView>
  </sheetViews>
  <sheetFormatPr defaultColWidth="0" defaultRowHeight="14.5" zeroHeight="1" x14ac:dyDescent="0.35"/>
  <cols>
    <col min="1" max="8" width="9" customWidth="1"/>
    <col min="9" max="9" width="4.5" customWidth="1"/>
    <col min="10" max="16384" width="9"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sheetData>
  <sheetProtection algorithmName="SHA-512" hashValue="BHuDxsra5RkFjklOA7blkiDZZIIeZ75qtkmSfFSaB6ExhVMjwIXor8RP+LWfGkPZcKgyxZi2Qcu3U+Vm3dP/gg==" saltValue="rAzaeiJ/4GTCzAD3uD67vg==" spinCount="100000" sheet="1" objects="1" scenarios="1"/>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6F70CA-EE35-4540-A464-DE023E0F046D}">
  <sheetPr codeName="Sheet17"/>
  <dimension ref="A1:M27"/>
  <sheetViews>
    <sheetView showGridLines="0" workbookViewId="0">
      <selection activeCell="B27" sqref="B27"/>
    </sheetView>
  </sheetViews>
  <sheetFormatPr defaultColWidth="0" defaultRowHeight="14.5" zeroHeight="1" x14ac:dyDescent="0.35"/>
  <cols>
    <col min="1" max="12" width="9" customWidth="1"/>
    <col min="13" max="13" width="17.9140625" customWidth="1"/>
    <col min="14" max="16384" width="9" hidden="1"/>
  </cols>
  <sheetData>
    <row r="1" x14ac:dyDescent="0.35"/>
    <row r="2" x14ac:dyDescent="0.35"/>
    <row r="3" x14ac:dyDescent="0.35"/>
    <row r="4" x14ac:dyDescent="0.35"/>
    <row r="5" x14ac:dyDescent="0.35"/>
    <row r="6" x14ac:dyDescent="0.35"/>
    <row r="7" x14ac:dyDescent="0.35"/>
    <row r="8" x14ac:dyDescent="0.35"/>
    <row r="9" x14ac:dyDescent="0.35"/>
    <row r="10" x14ac:dyDescent="0.35"/>
    <row r="11" x14ac:dyDescent="0.35"/>
    <row r="12" x14ac:dyDescent="0.35"/>
    <row r="13" x14ac:dyDescent="0.35"/>
    <row r="14" x14ac:dyDescent="0.35"/>
    <row r="15" x14ac:dyDescent="0.35"/>
    <row r="1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sheetData>
  <sheetProtection algorithmName="SHA-512" hashValue="qwTxUCe1Jk4djIFZMc3Zz696xL/3KwxAx+OtZiKoeLC9Y6F58mwo6Zila6XASDMKNlMNz01XTRk/n2Dmz99ZXw==" saltValue="G92BG5tXUXS0PydWDPiprg==" spinCount="100000" sheet="1" objects="1" scenarios="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CDE08-BC17-468E-B4DA-8BDA1814A64A}">
  <sheetPr codeName="Sheet3"/>
  <dimension ref="A1:AD1048575"/>
  <sheetViews>
    <sheetView showGridLines="0" tabSelected="1" zoomScale="63" zoomScaleNormal="80" workbookViewId="0">
      <selection activeCell="F21" sqref="F21"/>
    </sheetView>
  </sheetViews>
  <sheetFormatPr defaultColWidth="0" defaultRowHeight="14.5" zeroHeight="1" x14ac:dyDescent="0.35"/>
  <cols>
    <col min="1" max="1" width="6.5" style="97" customWidth="1"/>
    <col min="2" max="2" width="12.9140625" style="97" customWidth="1"/>
    <col min="3" max="3" width="14.08203125" style="97" bestFit="1" customWidth="1"/>
    <col min="4" max="4" width="11.25" style="97" customWidth="1"/>
    <col min="5" max="5" width="10.83203125" style="97" bestFit="1" customWidth="1"/>
    <col min="6" max="6" width="13.83203125" style="97" customWidth="1"/>
    <col min="7" max="9" width="8.25" style="97" customWidth="1"/>
    <col min="10" max="10" width="7.75" style="97" customWidth="1"/>
    <col min="11" max="11" width="10.6640625" style="97" customWidth="1"/>
    <col min="12" max="14" width="8.25" style="97" customWidth="1"/>
    <col min="15" max="15" width="11" style="97" customWidth="1"/>
    <col min="16" max="18" width="8.25" style="97" customWidth="1"/>
    <col min="19" max="19" width="8.08203125" style="97" customWidth="1"/>
    <col min="20" max="20" width="8.25" style="97" customWidth="1"/>
    <col min="21" max="21" width="7" style="97" bestFit="1" customWidth="1"/>
    <col min="22" max="22" width="8.1640625" style="97" customWidth="1"/>
    <col min="23" max="23" width="7.9140625" style="97" customWidth="1"/>
    <col min="24" max="24" width="7" style="97" bestFit="1" customWidth="1"/>
    <col min="25" max="26" width="6.83203125" style="97" hidden="1"/>
    <col min="27" max="27" width="0" style="97" hidden="1"/>
    <col min="28" max="16384" width="8.25" style="97" hidden="1"/>
  </cols>
  <sheetData>
    <row r="1" spans="1:24" ht="14.5" customHeight="1" x14ac:dyDescent="0.35">
      <c r="A1" s="187" t="s">
        <v>46</v>
      </c>
      <c r="B1" s="187"/>
      <c r="C1" s="187"/>
      <c r="D1" s="187"/>
      <c r="E1" s="187"/>
      <c r="F1" s="187"/>
      <c r="G1" s="187"/>
      <c r="H1" s="187"/>
      <c r="I1" s="187"/>
      <c r="J1" s="187"/>
      <c r="K1" s="187"/>
      <c r="L1" s="187"/>
      <c r="M1" s="187"/>
      <c r="N1" s="187"/>
      <c r="O1" s="187"/>
      <c r="P1" s="187"/>
      <c r="Q1" s="187"/>
      <c r="R1" s="187"/>
      <c r="S1" s="187"/>
      <c r="T1" s="187"/>
      <c r="U1" s="187"/>
      <c r="V1" s="187"/>
      <c r="W1" s="187"/>
      <c r="X1" s="187"/>
    </row>
    <row r="2" spans="1:24" ht="38" customHeight="1" x14ac:dyDescent="0.35">
      <c r="A2" s="187"/>
      <c r="B2" s="187"/>
      <c r="C2" s="187"/>
      <c r="D2" s="187"/>
      <c r="E2" s="187"/>
      <c r="F2" s="187"/>
      <c r="G2" s="187"/>
      <c r="H2" s="187"/>
      <c r="I2" s="187"/>
      <c r="J2" s="187"/>
      <c r="K2" s="187"/>
      <c r="L2" s="187"/>
      <c r="M2" s="187"/>
      <c r="N2" s="187"/>
      <c r="O2" s="187"/>
      <c r="P2" s="187"/>
      <c r="Q2" s="187"/>
      <c r="R2" s="187"/>
      <c r="S2" s="187"/>
      <c r="T2" s="187"/>
      <c r="U2" s="187"/>
      <c r="V2" s="187"/>
      <c r="W2" s="187"/>
      <c r="X2" s="187"/>
    </row>
    <row r="3" spans="1:24" ht="32" customHeight="1" thickBot="1" x14ac:dyDescent="0.4"/>
    <row r="4" spans="1:24" ht="28" customHeight="1" x14ac:dyDescent="0.45">
      <c r="B4" s="145"/>
      <c r="C4" s="146" t="s">
        <v>52</v>
      </c>
      <c r="D4" s="147" t="s">
        <v>53</v>
      </c>
      <c r="F4" s="123" t="s">
        <v>43</v>
      </c>
      <c r="G4" s="124">
        <v>0.04</v>
      </c>
      <c r="H4" s="125"/>
      <c r="K4" s="123" t="s">
        <v>5</v>
      </c>
      <c r="L4" s="134" t="e">
        <f ca="1">AVERAGE(E16:E2001)</f>
        <v>#DIV/0!</v>
      </c>
      <c r="M4" s="135" t="e">
        <f ca="1">AVERAGE(F16:F2001)</f>
        <v>#DIV/0!</v>
      </c>
      <c r="O4" s="181" t="s">
        <v>42</v>
      </c>
      <c r="P4" s="182"/>
      <c r="Q4" s="182"/>
      <c r="R4" s="183"/>
      <c r="T4" s="178" t="s">
        <v>45</v>
      </c>
      <c r="U4" s="179"/>
      <c r="V4" s="179"/>
      <c r="W4" s="180"/>
    </row>
    <row r="5" spans="1:24" ht="18.5" x14ac:dyDescent="0.45">
      <c r="B5" s="148" t="s">
        <v>47</v>
      </c>
      <c r="C5" s="188" t="s">
        <v>48</v>
      </c>
      <c r="D5" s="189" t="s">
        <v>54</v>
      </c>
      <c r="F5" s="126" t="s">
        <v>29</v>
      </c>
      <c r="G5" s="102" t="e">
        <f ca="1">(Q6-G4)/R6</f>
        <v>#DIV/0!</v>
      </c>
      <c r="H5" s="127"/>
      <c r="K5" s="126" t="s">
        <v>7</v>
      </c>
      <c r="L5" s="111" t="e">
        <f ca="1">_xlfn.VAR.S(E16:E2001)</f>
        <v>#DIV/0!</v>
      </c>
      <c r="M5" s="136" t="e">
        <f ca="1">_xlfn.VAR.S(F16:F2001)</f>
        <v>#DIV/0!</v>
      </c>
      <c r="O5" s="139" t="str">
        <f>C5</f>
        <v>HINDUNILVR</v>
      </c>
      <c r="P5" s="99" t="str">
        <f>D5</f>
        <v>SBIN</v>
      </c>
      <c r="Q5" s="99" t="s">
        <v>10</v>
      </c>
      <c r="R5" s="140" t="s">
        <v>11</v>
      </c>
      <c r="T5" s="98" t="s">
        <v>14</v>
      </c>
      <c r="U5" s="99" t="s">
        <v>15</v>
      </c>
      <c r="V5" s="99" t="s">
        <v>10</v>
      </c>
      <c r="W5" s="100" t="s">
        <v>11</v>
      </c>
    </row>
    <row r="6" spans="1:24" ht="19" thickBot="1" x14ac:dyDescent="0.5">
      <c r="B6" s="148" t="s">
        <v>50</v>
      </c>
      <c r="C6" s="158">
        <f>DATE(C7,C8,C9)</f>
        <v>43983</v>
      </c>
      <c r="D6" s="159"/>
      <c r="F6" s="128"/>
      <c r="G6" s="110" t="s">
        <v>10</v>
      </c>
      <c r="H6" s="129" t="s">
        <v>11</v>
      </c>
      <c r="K6" s="126" t="s">
        <v>8</v>
      </c>
      <c r="L6" s="111" t="e">
        <f ca="1">SQRT(L5)</f>
        <v>#DIV/0!</v>
      </c>
      <c r="M6" s="136" t="e">
        <f ca="1">SQRT(M5)</f>
        <v>#DIV/0!</v>
      </c>
      <c r="O6" s="141">
        <v>0</v>
      </c>
      <c r="P6" s="142">
        <f>1-O6</f>
        <v>1</v>
      </c>
      <c r="Q6" s="143" t="e">
        <f ca="1">O6*$L$4+P6*$M$4</f>
        <v>#DIV/0!</v>
      </c>
      <c r="R6" s="144" t="e">
        <f ca="1">SQRT((O6*$L$6)^2+($M$6*P6)^2+2*$L$7*$L$6*$M$6*O6*P6)</f>
        <v>#DIV/0!</v>
      </c>
      <c r="T6" s="103">
        <v>0</v>
      </c>
      <c r="U6" s="101">
        <f>1-T6</f>
        <v>1</v>
      </c>
      <c r="V6" s="105" t="e">
        <f t="shared" ref="V6:V12" ca="1" si="0">T6*$G$7+$G$8*U6</f>
        <v>#DIV/0!</v>
      </c>
      <c r="W6" s="104" t="e">
        <f t="shared" ref="W6:W12" ca="1" si="1">T6*$H$7</f>
        <v>#DIV/0!</v>
      </c>
    </row>
    <row r="7" spans="1:24" ht="19" thickBot="1" x14ac:dyDescent="0.5">
      <c r="B7" s="148" t="s">
        <v>49</v>
      </c>
      <c r="C7" s="190">
        <v>2020</v>
      </c>
      <c r="D7" s="191"/>
      <c r="F7" s="126" t="s">
        <v>13</v>
      </c>
      <c r="G7" s="105" t="e">
        <f ca="1">Q6</f>
        <v>#DIV/0!</v>
      </c>
      <c r="H7" s="130" t="e">
        <f ca="1">R6</f>
        <v>#DIV/0!</v>
      </c>
      <c r="K7" s="131" t="s">
        <v>6</v>
      </c>
      <c r="L7" s="137" t="e">
        <f ca="1">CORREL(E16:E2001,F16:F2001)</f>
        <v>#DIV/0!</v>
      </c>
      <c r="M7" s="138"/>
      <c r="O7" s="167"/>
      <c r="P7" s="167"/>
      <c r="Q7" s="167"/>
      <c r="R7" s="167"/>
      <c r="T7" s="103">
        <f>T6+10%</f>
        <v>0.1</v>
      </c>
      <c r="U7" s="101">
        <f t="shared" ref="U7:U27" si="2">1-T7</f>
        <v>0.9</v>
      </c>
      <c r="V7" s="105" t="e">
        <f t="shared" ca="1" si="0"/>
        <v>#DIV/0!</v>
      </c>
      <c r="W7" s="104" t="e">
        <f t="shared" ca="1" si="1"/>
        <v>#DIV/0!</v>
      </c>
    </row>
    <row r="8" spans="1:24" ht="18.5" x14ac:dyDescent="0.45">
      <c r="B8" s="148" t="s">
        <v>51</v>
      </c>
      <c r="C8" s="190">
        <v>6</v>
      </c>
      <c r="D8" s="191"/>
      <c r="F8" s="126" t="s">
        <v>44</v>
      </c>
      <c r="G8" s="105">
        <f>G4</f>
        <v>0.04</v>
      </c>
      <c r="H8" s="130">
        <v>0</v>
      </c>
      <c r="O8" s="167"/>
      <c r="P8" s="167"/>
      <c r="Q8" s="167"/>
      <c r="R8" s="167"/>
      <c r="T8" s="103">
        <f t="shared" ref="T8:T27" si="3">T7+10%</f>
        <v>0.2</v>
      </c>
      <c r="U8" s="101">
        <f t="shared" si="2"/>
        <v>0.8</v>
      </c>
      <c r="V8" s="105" t="e">
        <f t="shared" ca="1" si="0"/>
        <v>#DIV/0!</v>
      </c>
      <c r="W8" s="104" t="e">
        <f t="shared" ca="1" si="1"/>
        <v>#DIV/0!</v>
      </c>
    </row>
    <row r="9" spans="1:24" ht="19" thickBot="1" x14ac:dyDescent="0.5">
      <c r="B9" s="149" t="s">
        <v>32</v>
      </c>
      <c r="C9" s="192">
        <v>1</v>
      </c>
      <c r="D9" s="193"/>
      <c r="F9" s="131" t="s">
        <v>6</v>
      </c>
      <c r="G9" s="132">
        <v>0</v>
      </c>
      <c r="H9" s="133"/>
      <c r="O9" s="167"/>
      <c r="P9" s="167"/>
      <c r="Q9" s="167"/>
      <c r="R9" s="167"/>
      <c r="T9" s="103">
        <f t="shared" si="3"/>
        <v>0.30000000000000004</v>
      </c>
      <c r="U9" s="101">
        <f t="shared" si="2"/>
        <v>0.7</v>
      </c>
      <c r="V9" s="105" t="e">
        <f t="shared" ca="1" si="0"/>
        <v>#DIV/0!</v>
      </c>
      <c r="W9" s="104" t="e">
        <f t="shared" ca="1" si="1"/>
        <v>#DIV/0!</v>
      </c>
    </row>
    <row r="10" spans="1:24" x14ac:dyDescent="0.35">
      <c r="G10" s="96"/>
      <c r="I10" s="120"/>
      <c r="J10" s="120"/>
      <c r="K10" s="120"/>
      <c r="L10" s="120"/>
      <c r="M10" s="120"/>
      <c r="O10" s="167"/>
      <c r="P10" s="167"/>
      <c r="Q10" s="167"/>
      <c r="R10" s="167"/>
      <c r="T10" s="103">
        <f t="shared" si="3"/>
        <v>0.4</v>
      </c>
      <c r="U10" s="101">
        <f t="shared" si="2"/>
        <v>0.6</v>
      </c>
      <c r="V10" s="105" t="e">
        <f t="shared" ca="1" si="0"/>
        <v>#DIV/0!</v>
      </c>
      <c r="W10" s="104" t="e">
        <f t="shared" ca="1" si="1"/>
        <v>#DIV/0!</v>
      </c>
    </row>
    <row r="11" spans="1:24" x14ac:dyDescent="0.35">
      <c r="G11" s="96"/>
      <c r="I11" s="120"/>
      <c r="J11" s="120">
        <v>0</v>
      </c>
      <c r="K11" s="120"/>
      <c r="L11" s="120"/>
      <c r="M11" s="120"/>
      <c r="O11" s="167"/>
      <c r="P11" s="167"/>
      <c r="Q11" s="167"/>
      <c r="R11" s="167"/>
      <c r="T11" s="103">
        <f t="shared" si="3"/>
        <v>0.5</v>
      </c>
      <c r="U11" s="101">
        <f t="shared" si="2"/>
        <v>0.5</v>
      </c>
      <c r="V11" s="105" t="e">
        <f t="shared" ca="1" si="0"/>
        <v>#DIV/0!</v>
      </c>
      <c r="W11" s="104" t="e">
        <f t="shared" ca="1" si="1"/>
        <v>#DIV/0!</v>
      </c>
    </row>
    <row r="12" spans="1:24" ht="23.25" customHeight="1" x14ac:dyDescent="0.35">
      <c r="G12" s="96"/>
      <c r="I12" s="120"/>
      <c r="J12" s="120"/>
      <c r="K12" s="120"/>
      <c r="L12" s="120"/>
      <c r="M12" s="120"/>
      <c r="O12" s="167"/>
      <c r="P12" s="167"/>
      <c r="Q12" s="167"/>
      <c r="R12" s="167"/>
      <c r="T12" s="103">
        <f>T11+10%</f>
        <v>0.6</v>
      </c>
      <c r="U12" s="101">
        <f t="shared" si="2"/>
        <v>0.4</v>
      </c>
      <c r="V12" s="105" t="e">
        <f t="shared" ca="1" si="0"/>
        <v>#DIV/0!</v>
      </c>
      <c r="W12" s="104" t="e">
        <f t="shared" ca="1" si="1"/>
        <v>#DIV/0!</v>
      </c>
    </row>
    <row r="13" spans="1:24" ht="18.5" x14ac:dyDescent="0.45">
      <c r="B13" s="109" t="s">
        <v>0</v>
      </c>
      <c r="C13" s="156" t="s">
        <v>40</v>
      </c>
      <c r="D13" s="157"/>
      <c r="E13" s="156" t="s">
        <v>41</v>
      </c>
      <c r="F13" s="157"/>
      <c r="G13" s="96"/>
      <c r="I13" s="120"/>
      <c r="J13" s="120"/>
      <c r="K13" s="120"/>
      <c r="L13" s="120"/>
      <c r="M13" s="120"/>
      <c r="O13" s="167"/>
      <c r="P13" s="167"/>
      <c r="Q13" s="167"/>
      <c r="R13" s="167"/>
      <c r="T13" s="103"/>
      <c r="U13" s="101"/>
      <c r="V13" s="105"/>
      <c r="W13" s="104"/>
    </row>
    <row r="14" spans="1:24" x14ac:dyDescent="0.35">
      <c r="B14" s="122"/>
      <c r="C14" s="117" t="str">
        <f>C5</f>
        <v>HINDUNILVR</v>
      </c>
      <c r="D14" s="117" t="str">
        <f>D5</f>
        <v>SBIN</v>
      </c>
      <c r="E14" s="117" t="str">
        <f>C5</f>
        <v>HINDUNILVR</v>
      </c>
      <c r="F14" s="118" t="str">
        <f>D5</f>
        <v>SBIN</v>
      </c>
      <c r="G14" s="96"/>
      <c r="I14" s="120"/>
      <c r="J14" s="120"/>
      <c r="K14" s="120"/>
      <c r="L14" s="120"/>
      <c r="M14" s="120"/>
      <c r="O14" s="167"/>
      <c r="P14" s="167"/>
      <c r="Q14" s="167"/>
      <c r="R14" s="167"/>
      <c r="T14" s="103">
        <f>T12+10%</f>
        <v>0.7</v>
      </c>
      <c r="U14" s="101">
        <f t="shared" si="2"/>
        <v>0.30000000000000004</v>
      </c>
      <c r="V14" s="105" t="e">
        <f t="shared" ref="V14:V27" ca="1" si="4">T14*$G$7+$G$8*U14</f>
        <v>#DIV/0!</v>
      </c>
      <c r="W14" s="104" t="e">
        <f t="shared" ref="W14:W27" ca="1" si="5">T14*$H$7</f>
        <v>#DIV/0!</v>
      </c>
    </row>
    <row r="15" spans="1:24" x14ac:dyDescent="0.35">
      <c r="B15" s="115" t="e" cm="1">
        <f t="array" aca="1" ref="B15:C27" ca="1">_xlfn.STOCKHISTORY($C$5,$C$6,TODAY(),2,0,0,1)</f>
        <v>#NAME?</v>
      </c>
      <c r="C15" s="95" t="e">
        <f ca="1"/>
        <v>#NAME?</v>
      </c>
      <c r="D15" s="95" t="e" cm="1">
        <f t="array" aca="1" ref="D15:D27" ca="1">_xlfn.STOCKHISTORY($D$5,$C$6,TODAY(),2,0,1)</f>
        <v>#NAME?</v>
      </c>
      <c r="E15" s="121" t="str">
        <f t="shared" ref="E15:E28" ca="1" si="6">IF((IFERROR(C15/C14-1," "))=-1," ",IFERROR(C15/C14-1," "))</f>
        <v xml:space="preserve"> </v>
      </c>
      <c r="F15" s="121" t="str">
        <f t="shared" ref="F15:F28" ca="1" si="7">IF((IFERROR(D15/D14-1," "))=-1," ",IFERROR(D15/D14-1," "))</f>
        <v xml:space="preserve"> </v>
      </c>
      <c r="G15" s="96"/>
      <c r="I15" s="120"/>
      <c r="J15" s="120"/>
      <c r="K15" s="120"/>
      <c r="L15" s="120"/>
      <c r="M15" s="120"/>
      <c r="T15" s="103">
        <f t="shared" si="3"/>
        <v>0.79999999999999993</v>
      </c>
      <c r="U15" s="101">
        <f t="shared" si="2"/>
        <v>0.20000000000000007</v>
      </c>
      <c r="V15" s="105" t="e">
        <f t="shared" ca="1" si="4"/>
        <v>#DIV/0!</v>
      </c>
      <c r="W15" s="104" t="e">
        <f t="shared" ca="1" si="5"/>
        <v>#DIV/0!</v>
      </c>
    </row>
    <row r="16" spans="1:24" x14ac:dyDescent="0.35">
      <c r="B16" s="115" t="e">
        <f ca="1"/>
        <v>#NAME?</v>
      </c>
      <c r="C16" s="95" t="e">
        <f ca="1"/>
        <v>#NAME?</v>
      </c>
      <c r="D16" s="119" t="e">
        <f ca="1"/>
        <v>#NAME?</v>
      </c>
      <c r="E16" s="96" t="str">
        <f t="shared" ca="1" si="6"/>
        <v xml:space="preserve"> </v>
      </c>
      <c r="F16" s="96" t="str">
        <f t="shared" ca="1" si="7"/>
        <v xml:space="preserve"> </v>
      </c>
      <c r="G16" s="96"/>
      <c r="I16" s="120"/>
      <c r="J16" s="120"/>
      <c r="K16" s="120"/>
      <c r="L16" s="120"/>
      <c r="M16" s="120"/>
      <c r="T16" s="103">
        <f t="shared" si="3"/>
        <v>0.89999999999999991</v>
      </c>
      <c r="U16" s="101">
        <f t="shared" si="2"/>
        <v>0.10000000000000009</v>
      </c>
      <c r="V16" s="105" t="e">
        <f t="shared" ca="1" si="4"/>
        <v>#DIV/0!</v>
      </c>
      <c r="W16" s="104" t="e">
        <f t="shared" ca="1" si="5"/>
        <v>#DIV/0!</v>
      </c>
    </row>
    <row r="17" spans="2:23" x14ac:dyDescent="0.35">
      <c r="B17" s="115" t="e">
        <f ca="1"/>
        <v>#NAME?</v>
      </c>
      <c r="C17" s="95" t="e">
        <f ca="1"/>
        <v>#NAME?</v>
      </c>
      <c r="D17" s="119" t="e">
        <f ca="1"/>
        <v>#NAME?</v>
      </c>
      <c r="E17" s="96" t="str">
        <f t="shared" ca="1" si="6"/>
        <v xml:space="preserve"> </v>
      </c>
      <c r="F17" s="96" t="str">
        <f t="shared" ca="1" si="7"/>
        <v xml:space="preserve"> </v>
      </c>
      <c r="G17" s="96"/>
      <c r="I17" s="120"/>
      <c r="J17" s="120"/>
      <c r="K17" s="120"/>
      <c r="L17" s="120"/>
      <c r="M17" s="120"/>
      <c r="T17" s="103">
        <f t="shared" si="3"/>
        <v>0.99999999999999989</v>
      </c>
      <c r="U17" s="101">
        <f t="shared" si="2"/>
        <v>0</v>
      </c>
      <c r="V17" s="105" t="e">
        <f t="shared" ca="1" si="4"/>
        <v>#DIV/0!</v>
      </c>
      <c r="W17" s="104" t="e">
        <f t="shared" ca="1" si="5"/>
        <v>#DIV/0!</v>
      </c>
    </row>
    <row r="18" spans="2:23" x14ac:dyDescent="0.35">
      <c r="B18" s="115" t="e">
        <f ca="1"/>
        <v>#NAME?</v>
      </c>
      <c r="C18" s="95" t="e">
        <f ca="1"/>
        <v>#NAME?</v>
      </c>
      <c r="D18" s="119" t="e">
        <f ca="1"/>
        <v>#NAME?</v>
      </c>
      <c r="E18" s="96" t="str">
        <f t="shared" ca="1" si="6"/>
        <v xml:space="preserve"> </v>
      </c>
      <c r="F18" s="96" t="str">
        <f t="shared" ca="1" si="7"/>
        <v xml:space="preserve"> </v>
      </c>
      <c r="G18" s="96"/>
      <c r="I18" s="120"/>
      <c r="J18" s="120"/>
      <c r="K18" s="120"/>
      <c r="L18" s="120"/>
      <c r="M18" s="120"/>
      <c r="T18" s="103">
        <f t="shared" si="3"/>
        <v>1.0999999999999999</v>
      </c>
      <c r="U18" s="101">
        <f t="shared" si="2"/>
        <v>-9.9999999999999867E-2</v>
      </c>
      <c r="V18" s="105" t="e">
        <f t="shared" ca="1" si="4"/>
        <v>#DIV/0!</v>
      </c>
      <c r="W18" s="104" t="e">
        <f t="shared" ca="1" si="5"/>
        <v>#DIV/0!</v>
      </c>
    </row>
    <row r="19" spans="2:23" x14ac:dyDescent="0.35">
      <c r="B19" s="115" t="e">
        <f ca="1"/>
        <v>#NAME?</v>
      </c>
      <c r="C19" s="95" t="e">
        <f ca="1"/>
        <v>#NAME?</v>
      </c>
      <c r="D19" s="119" t="e">
        <f ca="1"/>
        <v>#NAME?</v>
      </c>
      <c r="E19" s="96" t="str">
        <f t="shared" ca="1" si="6"/>
        <v xml:space="preserve"> </v>
      </c>
      <c r="F19" s="96" t="str">
        <f t="shared" ca="1" si="7"/>
        <v xml:space="preserve"> </v>
      </c>
      <c r="G19" s="106"/>
      <c r="I19" s="120"/>
      <c r="J19" s="120"/>
      <c r="K19" s="120"/>
      <c r="L19" s="120"/>
      <c r="M19" s="120"/>
      <c r="T19" s="103">
        <f t="shared" si="3"/>
        <v>1.2</v>
      </c>
      <c r="U19" s="101">
        <f t="shared" si="2"/>
        <v>-0.19999999999999996</v>
      </c>
      <c r="V19" s="105" t="e">
        <f t="shared" ca="1" si="4"/>
        <v>#DIV/0!</v>
      </c>
      <c r="W19" s="104" t="e">
        <f t="shared" ca="1" si="5"/>
        <v>#DIV/0!</v>
      </c>
    </row>
    <row r="20" spans="2:23" x14ac:dyDescent="0.35">
      <c r="B20" s="115" t="e">
        <f ca="1"/>
        <v>#NAME?</v>
      </c>
      <c r="C20" s="95" t="e">
        <f ca="1"/>
        <v>#NAME?</v>
      </c>
      <c r="D20" s="119" t="e">
        <f ca="1"/>
        <v>#NAME?</v>
      </c>
      <c r="E20" s="96" t="str">
        <f t="shared" ca="1" si="6"/>
        <v xml:space="preserve"> </v>
      </c>
      <c r="F20" s="96" t="str">
        <f t="shared" ca="1" si="7"/>
        <v xml:space="preserve"> </v>
      </c>
      <c r="I20" s="120"/>
      <c r="J20" s="120"/>
      <c r="K20" s="120"/>
      <c r="L20" s="120"/>
      <c r="M20" s="120"/>
      <c r="T20" s="103">
        <f t="shared" si="3"/>
        <v>1.3</v>
      </c>
      <c r="U20" s="101">
        <f t="shared" si="2"/>
        <v>-0.30000000000000004</v>
      </c>
      <c r="V20" s="105" t="e">
        <f t="shared" ca="1" si="4"/>
        <v>#DIV/0!</v>
      </c>
      <c r="W20" s="104" t="e">
        <f t="shared" ca="1" si="5"/>
        <v>#DIV/0!</v>
      </c>
    </row>
    <row r="21" spans="2:23" x14ac:dyDescent="0.35">
      <c r="B21" s="115" t="e">
        <f ca="1"/>
        <v>#NAME?</v>
      </c>
      <c r="C21" s="95" t="e">
        <f ca="1"/>
        <v>#NAME?</v>
      </c>
      <c r="D21" s="119" t="e">
        <f ca="1"/>
        <v>#NAME?</v>
      </c>
      <c r="E21" s="96" t="str">
        <f t="shared" ca="1" si="6"/>
        <v xml:space="preserve"> </v>
      </c>
      <c r="F21" s="96" t="str">
        <f t="shared" ca="1" si="7"/>
        <v xml:space="preserve"> </v>
      </c>
      <c r="I21" s="120"/>
      <c r="J21" s="120"/>
      <c r="K21" s="120"/>
      <c r="L21" s="120"/>
      <c r="M21" s="120"/>
      <c r="T21" s="103">
        <f t="shared" si="3"/>
        <v>1.4000000000000001</v>
      </c>
      <c r="U21" s="101">
        <f t="shared" si="2"/>
        <v>-0.40000000000000013</v>
      </c>
      <c r="V21" s="105" t="e">
        <f t="shared" ca="1" si="4"/>
        <v>#DIV/0!</v>
      </c>
      <c r="W21" s="104" t="e">
        <f t="shared" ca="1" si="5"/>
        <v>#DIV/0!</v>
      </c>
    </row>
    <row r="22" spans="2:23" x14ac:dyDescent="0.35">
      <c r="B22" s="115" t="e">
        <f ca="1"/>
        <v>#NAME?</v>
      </c>
      <c r="C22" s="95" t="e">
        <f ca="1"/>
        <v>#NAME?</v>
      </c>
      <c r="D22" s="119" t="e">
        <f ca="1"/>
        <v>#NAME?</v>
      </c>
      <c r="E22" s="96" t="str">
        <f t="shared" ca="1" si="6"/>
        <v xml:space="preserve"> </v>
      </c>
      <c r="F22" s="96" t="str">
        <f t="shared" ca="1" si="7"/>
        <v xml:space="preserve"> </v>
      </c>
      <c r="I22" s="120"/>
      <c r="J22" s="120"/>
      <c r="K22" s="120"/>
      <c r="L22" s="120"/>
      <c r="M22" s="120"/>
      <c r="T22" s="103">
        <f t="shared" si="3"/>
        <v>1.5000000000000002</v>
      </c>
      <c r="U22" s="101">
        <f t="shared" si="2"/>
        <v>-0.50000000000000022</v>
      </c>
      <c r="V22" s="105" t="e">
        <f t="shared" ca="1" si="4"/>
        <v>#DIV/0!</v>
      </c>
      <c r="W22" s="104" t="e">
        <f t="shared" ca="1" si="5"/>
        <v>#DIV/0!</v>
      </c>
    </row>
    <row r="23" spans="2:23" x14ac:dyDescent="0.35">
      <c r="B23" s="115" t="e">
        <f ca="1"/>
        <v>#NAME?</v>
      </c>
      <c r="C23" s="95" t="e">
        <f ca="1"/>
        <v>#NAME?</v>
      </c>
      <c r="D23" s="119" t="e">
        <f ca="1"/>
        <v>#NAME?</v>
      </c>
      <c r="E23" s="96" t="str">
        <f t="shared" ca="1" si="6"/>
        <v xml:space="preserve"> </v>
      </c>
      <c r="F23" s="96" t="str">
        <f t="shared" ca="1" si="7"/>
        <v xml:space="preserve"> </v>
      </c>
      <c r="I23" s="120"/>
      <c r="J23" s="120"/>
      <c r="K23" s="120"/>
      <c r="L23" s="120"/>
      <c r="M23" s="120"/>
      <c r="T23" s="103">
        <f t="shared" si="3"/>
        <v>1.6000000000000003</v>
      </c>
      <c r="U23" s="101">
        <f t="shared" si="2"/>
        <v>-0.60000000000000031</v>
      </c>
      <c r="V23" s="105" t="e">
        <f t="shared" ca="1" si="4"/>
        <v>#DIV/0!</v>
      </c>
      <c r="W23" s="104" t="e">
        <f t="shared" ca="1" si="5"/>
        <v>#DIV/0!</v>
      </c>
    </row>
    <row r="24" spans="2:23" x14ac:dyDescent="0.35">
      <c r="B24" s="115" t="e">
        <f ca="1"/>
        <v>#NAME?</v>
      </c>
      <c r="C24" s="95" t="e">
        <f ca="1"/>
        <v>#NAME?</v>
      </c>
      <c r="D24" s="119" t="e">
        <f ca="1"/>
        <v>#NAME?</v>
      </c>
      <c r="E24" s="96" t="str">
        <f t="shared" ca="1" si="6"/>
        <v xml:space="preserve"> </v>
      </c>
      <c r="F24" s="96" t="str">
        <f t="shared" ca="1" si="7"/>
        <v xml:space="preserve"> </v>
      </c>
      <c r="I24" s="120"/>
      <c r="J24" s="120"/>
      <c r="K24" s="120"/>
      <c r="L24" s="120"/>
      <c r="M24" s="120"/>
      <c r="T24" s="103">
        <f t="shared" si="3"/>
        <v>1.7000000000000004</v>
      </c>
      <c r="U24" s="101">
        <f t="shared" si="2"/>
        <v>-0.7000000000000004</v>
      </c>
      <c r="V24" s="105" t="e">
        <f t="shared" ca="1" si="4"/>
        <v>#DIV/0!</v>
      </c>
      <c r="W24" s="104" t="e">
        <f t="shared" ca="1" si="5"/>
        <v>#DIV/0!</v>
      </c>
    </row>
    <row r="25" spans="2:23" x14ac:dyDescent="0.35">
      <c r="B25" s="115" t="e">
        <f ca="1"/>
        <v>#NAME?</v>
      </c>
      <c r="C25" s="95" t="e">
        <f ca="1"/>
        <v>#NAME?</v>
      </c>
      <c r="D25" s="119" t="e">
        <f ca="1"/>
        <v>#NAME?</v>
      </c>
      <c r="E25" s="96" t="str">
        <f t="shared" ca="1" si="6"/>
        <v xml:space="preserve"> </v>
      </c>
      <c r="F25" s="96" t="str">
        <f t="shared" ca="1" si="7"/>
        <v xml:space="preserve"> </v>
      </c>
      <c r="I25" s="120"/>
      <c r="J25" s="120"/>
      <c r="K25" s="120"/>
      <c r="L25" s="120"/>
      <c r="M25" s="120"/>
      <c r="T25" s="103">
        <f t="shared" si="3"/>
        <v>1.8000000000000005</v>
      </c>
      <c r="U25" s="101">
        <f t="shared" si="2"/>
        <v>-0.80000000000000049</v>
      </c>
      <c r="V25" s="105" t="e">
        <f t="shared" ca="1" si="4"/>
        <v>#DIV/0!</v>
      </c>
      <c r="W25" s="104" t="e">
        <f t="shared" ca="1" si="5"/>
        <v>#DIV/0!</v>
      </c>
    </row>
    <row r="26" spans="2:23" x14ac:dyDescent="0.35">
      <c r="B26" s="115" t="e">
        <f ca="1"/>
        <v>#NAME?</v>
      </c>
      <c r="C26" s="95" t="e">
        <f ca="1"/>
        <v>#NAME?</v>
      </c>
      <c r="D26" s="119" t="e">
        <f ca="1"/>
        <v>#NAME?</v>
      </c>
      <c r="E26" s="96" t="str">
        <f t="shared" ca="1" si="6"/>
        <v xml:space="preserve"> </v>
      </c>
      <c r="F26" s="96" t="str">
        <f t="shared" ca="1" si="7"/>
        <v xml:space="preserve"> </v>
      </c>
      <c r="I26" s="120"/>
      <c r="J26" s="120"/>
      <c r="K26" s="120"/>
      <c r="L26" s="120"/>
      <c r="M26" s="120"/>
      <c r="T26" s="103">
        <f t="shared" si="3"/>
        <v>1.9000000000000006</v>
      </c>
      <c r="U26" s="101">
        <f t="shared" si="2"/>
        <v>-0.90000000000000058</v>
      </c>
      <c r="V26" s="105" t="e">
        <f t="shared" ca="1" si="4"/>
        <v>#DIV/0!</v>
      </c>
      <c r="W26" s="104" t="e">
        <f t="shared" ca="1" si="5"/>
        <v>#DIV/0!</v>
      </c>
    </row>
    <row r="27" spans="2:23" ht="14.25" customHeight="1" x14ac:dyDescent="0.35">
      <c r="B27" s="115" t="e">
        <f ca="1"/>
        <v>#NAME?</v>
      </c>
      <c r="C27" s="95" t="e">
        <f ca="1"/>
        <v>#NAME?</v>
      </c>
      <c r="D27" s="119" t="e">
        <f ca="1"/>
        <v>#NAME?</v>
      </c>
      <c r="E27" s="96" t="str">
        <f t="shared" ca="1" si="6"/>
        <v xml:space="preserve"> </v>
      </c>
      <c r="F27" s="96" t="str">
        <f t="shared" ca="1" si="7"/>
        <v xml:space="preserve"> </v>
      </c>
      <c r="I27" s="120"/>
      <c r="J27" s="120"/>
      <c r="K27" s="120"/>
      <c r="L27" s="120"/>
      <c r="M27" s="120"/>
      <c r="T27" s="112">
        <f t="shared" si="3"/>
        <v>2.0000000000000004</v>
      </c>
      <c r="U27" s="107">
        <f t="shared" si="2"/>
        <v>-1.0000000000000004</v>
      </c>
      <c r="V27" s="113" t="e">
        <f t="shared" ca="1" si="4"/>
        <v>#DIV/0!</v>
      </c>
      <c r="W27" s="108" t="e">
        <f t="shared" ca="1" si="5"/>
        <v>#DIV/0!</v>
      </c>
    </row>
    <row r="28" spans="2:23" x14ac:dyDescent="0.35">
      <c r="B28" s="115"/>
      <c r="C28" s="116"/>
      <c r="D28" s="119"/>
      <c r="E28" s="96" t="str">
        <f t="shared" ca="1" si="6"/>
        <v xml:space="preserve"> </v>
      </c>
      <c r="F28" s="96" t="str">
        <f t="shared" ca="1" si="7"/>
        <v xml:space="preserve"> </v>
      </c>
      <c r="I28" s="120"/>
      <c r="J28" s="120"/>
      <c r="K28" s="120"/>
      <c r="L28" s="120"/>
      <c r="M28" s="120"/>
    </row>
    <row r="29" spans="2:23" ht="17" x14ac:dyDescent="0.4">
      <c r="B29" s="115"/>
      <c r="C29" s="116"/>
      <c r="D29" s="119"/>
      <c r="E29" s="96" t="str">
        <f t="shared" ref="E29:F86" si="8">IF((IFERROR(C29/C28-1," "))=-1," ",IFERROR(C29/C28-1," "))</f>
        <v xml:space="preserve"> </v>
      </c>
      <c r="F29" s="96" t="str">
        <f t="shared" si="8"/>
        <v xml:space="preserve"> </v>
      </c>
      <c r="I29" s="120"/>
      <c r="J29" s="120"/>
      <c r="K29" s="120"/>
      <c r="L29" s="120"/>
      <c r="M29" s="120"/>
      <c r="T29" s="186" t="s">
        <v>42</v>
      </c>
      <c r="U29" s="184"/>
      <c r="V29" s="184"/>
      <c r="W29" s="185"/>
    </row>
    <row r="30" spans="2:23" x14ac:dyDescent="0.35">
      <c r="B30" s="115"/>
      <c r="D30" s="119"/>
      <c r="E30" s="96" t="str">
        <f t="shared" si="8"/>
        <v xml:space="preserve"> </v>
      </c>
      <c r="F30" s="96" t="str">
        <f t="shared" si="8"/>
        <v xml:space="preserve"> </v>
      </c>
      <c r="I30" s="120"/>
      <c r="J30" s="120"/>
      <c r="K30" s="120"/>
      <c r="L30" s="120"/>
      <c r="M30" s="120"/>
      <c r="T30" s="98" t="s">
        <v>1</v>
      </c>
      <c r="U30" s="99" t="s">
        <v>2</v>
      </c>
      <c r="V30" s="99" t="s">
        <v>10</v>
      </c>
      <c r="W30" s="100" t="s">
        <v>11</v>
      </c>
    </row>
    <row r="31" spans="2:23" x14ac:dyDescent="0.35">
      <c r="B31" s="115"/>
      <c r="D31" s="119"/>
      <c r="E31" s="96" t="str">
        <f t="shared" si="8"/>
        <v xml:space="preserve"> </v>
      </c>
      <c r="F31" s="96" t="str">
        <f t="shared" si="8"/>
        <v xml:space="preserve"> </v>
      </c>
      <c r="I31" s="120"/>
      <c r="J31" s="120"/>
      <c r="K31" s="120"/>
      <c r="L31" s="120"/>
      <c r="M31" s="120"/>
      <c r="T31" s="103">
        <v>0</v>
      </c>
      <c r="U31" s="101">
        <f>1-T31</f>
        <v>1</v>
      </c>
      <c r="V31" s="105" t="e">
        <f t="shared" ref="V31:V41" ca="1" si="9">T31*$L$4+U31*$M$4</f>
        <v>#DIV/0!</v>
      </c>
      <c r="W31" s="104" t="e">
        <f t="shared" ref="W31:W41" ca="1" si="10">SQRT((T31*$L$6)^2+($M$6*U31)^2+2*$L$7*$L$6*$M$6*T31*U31)</f>
        <v>#DIV/0!</v>
      </c>
    </row>
    <row r="32" spans="2:23" x14ac:dyDescent="0.35">
      <c r="B32" s="169"/>
      <c r="C32" s="167"/>
      <c r="D32" s="170"/>
      <c r="E32" s="171" t="str">
        <f t="shared" si="8"/>
        <v xml:space="preserve"> </v>
      </c>
      <c r="F32" s="171" t="str">
        <f t="shared" si="8"/>
        <v xml:space="preserve"> </v>
      </c>
      <c r="G32" s="167"/>
      <c r="H32" s="167"/>
      <c r="I32" s="120"/>
      <c r="J32" s="120"/>
      <c r="K32" s="120"/>
      <c r="L32" s="120"/>
      <c r="M32" s="120"/>
      <c r="N32" s="167"/>
      <c r="O32" s="167"/>
      <c r="P32" s="167"/>
      <c r="Q32" s="167"/>
      <c r="T32" s="103">
        <f>T31+10%</f>
        <v>0.1</v>
      </c>
      <c r="U32" s="101">
        <f t="shared" ref="U32:U41" si="11">1-T32</f>
        <v>0.9</v>
      </c>
      <c r="V32" s="105" t="e">
        <f t="shared" ca="1" si="9"/>
        <v>#DIV/0!</v>
      </c>
      <c r="W32" s="104" t="e">
        <f t="shared" ca="1" si="10"/>
        <v>#DIV/0!</v>
      </c>
    </row>
    <row r="33" spans="2:30" x14ac:dyDescent="0.35">
      <c r="B33" s="169"/>
      <c r="C33" s="167"/>
      <c r="D33" s="170"/>
      <c r="E33" s="171" t="str">
        <f t="shared" si="8"/>
        <v xml:space="preserve"> </v>
      </c>
      <c r="F33" s="171" t="str">
        <f t="shared" si="8"/>
        <v xml:space="preserve"> </v>
      </c>
      <c r="G33" s="167"/>
      <c r="H33" s="167"/>
      <c r="I33" s="120"/>
      <c r="J33" s="120"/>
      <c r="K33" s="120"/>
      <c r="L33" s="120"/>
      <c r="M33" s="120">
        <v>0</v>
      </c>
      <c r="N33" s="167"/>
      <c r="O33" s="167"/>
      <c r="P33" s="167"/>
      <c r="Q33" s="167"/>
      <c r="T33" s="103">
        <f t="shared" ref="T33:T41" si="12">T32+10%</f>
        <v>0.2</v>
      </c>
      <c r="U33" s="101">
        <f t="shared" si="11"/>
        <v>0.8</v>
      </c>
      <c r="V33" s="105" t="e">
        <f t="shared" ca="1" si="9"/>
        <v>#DIV/0!</v>
      </c>
      <c r="W33" s="104" t="e">
        <f t="shared" ca="1" si="10"/>
        <v>#DIV/0!</v>
      </c>
    </row>
    <row r="34" spans="2:30" x14ac:dyDescent="0.35">
      <c r="B34" s="169"/>
      <c r="C34" s="167"/>
      <c r="D34" s="170"/>
      <c r="E34" s="171" t="str">
        <f t="shared" si="8"/>
        <v xml:space="preserve"> </v>
      </c>
      <c r="F34" s="171" t="str">
        <f t="shared" si="8"/>
        <v xml:space="preserve"> </v>
      </c>
      <c r="G34" s="167"/>
      <c r="H34" s="167"/>
      <c r="I34" s="120"/>
      <c r="J34" s="120"/>
      <c r="K34" s="120"/>
      <c r="L34" s="120"/>
      <c r="M34" s="120">
        <v>0</v>
      </c>
      <c r="N34" s="167"/>
      <c r="O34" s="167"/>
      <c r="P34" s="167"/>
      <c r="Q34" s="167"/>
      <c r="T34" s="103">
        <f t="shared" si="12"/>
        <v>0.30000000000000004</v>
      </c>
      <c r="U34" s="101">
        <f t="shared" si="11"/>
        <v>0.7</v>
      </c>
      <c r="V34" s="105" t="e">
        <f t="shared" ca="1" si="9"/>
        <v>#DIV/0!</v>
      </c>
      <c r="W34" s="104" t="e">
        <f t="shared" ca="1" si="10"/>
        <v>#DIV/0!</v>
      </c>
    </row>
    <row r="35" spans="2:30" x14ac:dyDescent="0.35">
      <c r="B35" s="169"/>
      <c r="C35" s="167"/>
      <c r="D35" s="170"/>
      <c r="E35" s="171" t="str">
        <f t="shared" si="8"/>
        <v xml:space="preserve"> </v>
      </c>
      <c r="F35" s="171" t="str">
        <f t="shared" si="8"/>
        <v xml:space="preserve"> </v>
      </c>
      <c r="G35" s="167"/>
      <c r="H35" s="167"/>
      <c r="I35" s="120"/>
      <c r="J35" s="120"/>
      <c r="K35" s="120"/>
      <c r="L35" s="120"/>
      <c r="M35" s="120"/>
      <c r="N35" s="167"/>
      <c r="O35" s="167"/>
      <c r="P35" s="167"/>
      <c r="Q35" s="167"/>
      <c r="T35" s="103">
        <f t="shared" si="12"/>
        <v>0.4</v>
      </c>
      <c r="U35" s="101">
        <f t="shared" si="11"/>
        <v>0.6</v>
      </c>
      <c r="V35" s="105" t="e">
        <f t="shared" ca="1" si="9"/>
        <v>#DIV/0!</v>
      </c>
      <c r="W35" s="104" t="e">
        <f t="shared" ca="1" si="10"/>
        <v>#DIV/0!</v>
      </c>
    </row>
    <row r="36" spans="2:30" x14ac:dyDescent="0.35">
      <c r="B36" s="169"/>
      <c r="C36" s="167"/>
      <c r="D36" s="170"/>
      <c r="E36" s="171" t="str">
        <f t="shared" si="8"/>
        <v xml:space="preserve"> </v>
      </c>
      <c r="F36" s="171" t="str">
        <f t="shared" si="8"/>
        <v xml:space="preserve"> </v>
      </c>
      <c r="G36" s="167"/>
      <c r="H36" s="167"/>
      <c r="I36" s="120"/>
      <c r="J36" s="120"/>
      <c r="K36" s="120"/>
      <c r="L36" s="120"/>
      <c r="M36" s="120"/>
      <c r="N36" s="167"/>
      <c r="O36" s="167"/>
      <c r="P36" s="167"/>
      <c r="Q36" s="167"/>
      <c r="T36" s="103">
        <f t="shared" si="12"/>
        <v>0.5</v>
      </c>
      <c r="U36" s="101">
        <f t="shared" si="11"/>
        <v>0.5</v>
      </c>
      <c r="V36" s="105" t="e">
        <f t="shared" ca="1" si="9"/>
        <v>#DIV/0!</v>
      </c>
      <c r="W36" s="104" t="e">
        <f t="shared" ca="1" si="10"/>
        <v>#DIV/0!</v>
      </c>
    </row>
    <row r="37" spans="2:30" x14ac:dyDescent="0.35">
      <c r="B37" s="169"/>
      <c r="C37" s="167"/>
      <c r="D37" s="170"/>
      <c r="E37" s="171" t="str">
        <f t="shared" si="8"/>
        <v xml:space="preserve"> </v>
      </c>
      <c r="F37" s="171" t="str">
        <f t="shared" si="8"/>
        <v xml:space="preserve"> </v>
      </c>
      <c r="G37" s="167"/>
      <c r="H37" s="167"/>
      <c r="I37" s="120"/>
      <c r="J37" s="120"/>
      <c r="K37" s="120"/>
      <c r="L37" s="120"/>
      <c r="M37" s="120"/>
      <c r="N37" s="167"/>
      <c r="O37" s="167"/>
      <c r="P37" s="167"/>
      <c r="Q37" s="167"/>
      <c r="T37" s="103">
        <f t="shared" si="12"/>
        <v>0.6</v>
      </c>
      <c r="U37" s="101">
        <f t="shared" si="11"/>
        <v>0.4</v>
      </c>
      <c r="V37" s="105" t="e">
        <f t="shared" ca="1" si="9"/>
        <v>#DIV/0!</v>
      </c>
      <c r="W37" s="104" t="e">
        <f t="shared" ca="1" si="10"/>
        <v>#DIV/0!</v>
      </c>
    </row>
    <row r="38" spans="2:30" x14ac:dyDescent="0.35">
      <c r="B38" s="169"/>
      <c r="C38" s="167"/>
      <c r="D38" s="170"/>
      <c r="E38" s="171" t="str">
        <f t="shared" si="8"/>
        <v xml:space="preserve"> </v>
      </c>
      <c r="F38" s="171" t="str">
        <f t="shared" si="8"/>
        <v xml:space="preserve"> </v>
      </c>
      <c r="G38" s="167"/>
      <c r="H38" s="167"/>
      <c r="I38" s="120"/>
      <c r="J38" s="120"/>
      <c r="K38" s="120"/>
      <c r="L38" s="120"/>
      <c r="M38" s="120"/>
      <c r="N38" s="167"/>
      <c r="O38" s="167"/>
      <c r="P38" s="167"/>
      <c r="Q38" s="167"/>
      <c r="T38" s="103">
        <f t="shared" si="12"/>
        <v>0.7</v>
      </c>
      <c r="U38" s="101">
        <f t="shared" si="11"/>
        <v>0.30000000000000004</v>
      </c>
      <c r="V38" s="105" t="e">
        <f t="shared" ca="1" si="9"/>
        <v>#DIV/0!</v>
      </c>
      <c r="W38" s="104" t="e">
        <f t="shared" ca="1" si="10"/>
        <v>#DIV/0!</v>
      </c>
    </row>
    <row r="39" spans="2:30" x14ac:dyDescent="0.35">
      <c r="B39" s="169"/>
      <c r="C39" s="167"/>
      <c r="D39" s="170"/>
      <c r="E39" s="171" t="str">
        <f t="shared" si="8"/>
        <v xml:space="preserve"> </v>
      </c>
      <c r="F39" s="171" t="str">
        <f t="shared" si="8"/>
        <v xml:space="preserve"> </v>
      </c>
      <c r="G39" s="167"/>
      <c r="H39" s="167"/>
      <c r="I39" s="120"/>
      <c r="J39" s="120"/>
      <c r="K39" s="120"/>
      <c r="L39" s="120"/>
      <c r="M39" s="120"/>
      <c r="N39" s="167"/>
      <c r="O39" s="167"/>
      <c r="P39" s="167"/>
      <c r="Q39" s="167"/>
      <c r="T39" s="103">
        <f t="shared" si="12"/>
        <v>0.79999999999999993</v>
      </c>
      <c r="U39" s="101">
        <f t="shared" si="11"/>
        <v>0.20000000000000007</v>
      </c>
      <c r="V39" s="105" t="e">
        <f t="shared" ca="1" si="9"/>
        <v>#DIV/0!</v>
      </c>
      <c r="W39" s="104" t="e">
        <f t="shared" ca="1" si="10"/>
        <v>#DIV/0!</v>
      </c>
    </row>
    <row r="40" spans="2:30" x14ac:dyDescent="0.35">
      <c r="B40" s="169"/>
      <c r="C40" s="167"/>
      <c r="D40" s="170"/>
      <c r="E40" s="171" t="str">
        <f t="shared" si="8"/>
        <v xml:space="preserve"> </v>
      </c>
      <c r="F40" s="171" t="str">
        <f t="shared" si="8"/>
        <v xml:space="preserve"> </v>
      </c>
      <c r="G40" s="167"/>
      <c r="H40" s="167"/>
      <c r="I40" s="167"/>
      <c r="J40" s="167"/>
      <c r="K40" s="167"/>
      <c r="L40" s="167"/>
      <c r="M40" s="167"/>
      <c r="N40" s="167"/>
      <c r="O40" s="167"/>
      <c r="P40" s="167"/>
      <c r="Q40" s="167"/>
      <c r="T40" s="103">
        <f t="shared" si="12"/>
        <v>0.89999999999999991</v>
      </c>
      <c r="U40" s="101">
        <f t="shared" si="11"/>
        <v>0.10000000000000009</v>
      </c>
      <c r="V40" s="105" t="e">
        <f t="shared" ca="1" si="9"/>
        <v>#DIV/0!</v>
      </c>
      <c r="W40" s="104" t="e">
        <f t="shared" ca="1" si="10"/>
        <v>#DIV/0!</v>
      </c>
    </row>
    <row r="41" spans="2:30" x14ac:dyDescent="0.35">
      <c r="B41" s="169"/>
      <c r="C41" s="167"/>
      <c r="D41" s="170"/>
      <c r="E41" s="171" t="str">
        <f t="shared" si="8"/>
        <v xml:space="preserve"> </v>
      </c>
      <c r="F41" s="171" t="str">
        <f t="shared" si="8"/>
        <v xml:space="preserve"> </v>
      </c>
      <c r="G41" s="167"/>
      <c r="H41" s="167"/>
      <c r="I41" s="167"/>
      <c r="J41" s="167"/>
      <c r="K41" s="167"/>
      <c r="L41" s="167"/>
      <c r="M41" s="167"/>
      <c r="N41" s="167"/>
      <c r="O41" s="167"/>
      <c r="P41" s="167"/>
      <c r="Q41" s="167"/>
      <c r="T41" s="112">
        <f t="shared" si="12"/>
        <v>0.99999999999999989</v>
      </c>
      <c r="U41" s="107">
        <f t="shared" si="11"/>
        <v>0</v>
      </c>
      <c r="V41" s="113" t="e">
        <f t="shared" ca="1" si="9"/>
        <v>#DIV/0!</v>
      </c>
      <c r="W41" s="108" t="e">
        <f t="shared" ca="1" si="10"/>
        <v>#DIV/0!</v>
      </c>
    </row>
    <row r="42" spans="2:30" x14ac:dyDescent="0.35">
      <c r="B42" s="169"/>
      <c r="C42" s="167"/>
      <c r="D42" s="170"/>
      <c r="E42" s="171" t="str">
        <f t="shared" si="8"/>
        <v xml:space="preserve"> </v>
      </c>
      <c r="F42" s="171" t="str">
        <f t="shared" si="8"/>
        <v xml:space="preserve"> </v>
      </c>
      <c r="G42" s="167"/>
      <c r="H42" s="167"/>
      <c r="I42" s="167"/>
      <c r="J42" s="167"/>
      <c r="K42" s="167"/>
      <c r="L42" s="167"/>
      <c r="M42" s="167"/>
      <c r="N42" s="167"/>
      <c r="O42" s="167"/>
      <c r="P42" s="167"/>
      <c r="Q42" s="167"/>
      <c r="R42" s="167"/>
      <c r="S42" s="167"/>
      <c r="AA42" s="167"/>
      <c r="AB42" s="167"/>
      <c r="AC42" s="167"/>
      <c r="AD42" s="167"/>
    </row>
    <row r="43" spans="2:30" x14ac:dyDescent="0.35">
      <c r="B43" s="169"/>
      <c r="C43" s="167"/>
      <c r="D43" s="170"/>
      <c r="E43" s="171" t="str">
        <f t="shared" si="8"/>
        <v xml:space="preserve"> </v>
      </c>
      <c r="F43" s="171" t="str">
        <f t="shared" si="8"/>
        <v xml:space="preserve"> </v>
      </c>
      <c r="G43" s="167"/>
      <c r="H43" s="167"/>
      <c r="I43" s="167"/>
      <c r="J43" s="167"/>
      <c r="K43" s="167"/>
      <c r="L43" s="167"/>
      <c r="M43" s="167"/>
      <c r="N43" s="167"/>
      <c r="O43" s="167"/>
      <c r="P43" s="167"/>
      <c r="Q43" s="167"/>
      <c r="R43" s="167"/>
      <c r="S43" s="167"/>
      <c r="AA43" s="167"/>
      <c r="AB43" s="167"/>
      <c r="AC43" s="167"/>
      <c r="AD43" s="167"/>
    </row>
    <row r="44" spans="2:30" x14ac:dyDescent="0.35">
      <c r="B44" s="169"/>
      <c r="C44" s="167"/>
      <c r="D44" s="170"/>
      <c r="E44" s="171" t="str">
        <f t="shared" si="8"/>
        <v xml:space="preserve"> </v>
      </c>
      <c r="F44" s="171" t="str">
        <f t="shared" si="8"/>
        <v xml:space="preserve"> </v>
      </c>
      <c r="G44" s="167"/>
      <c r="H44" s="167"/>
      <c r="I44" s="167"/>
      <c r="J44" s="167"/>
      <c r="K44" s="167"/>
      <c r="L44" s="167"/>
      <c r="M44" s="167"/>
      <c r="N44" s="167"/>
      <c r="O44" s="167"/>
      <c r="P44" s="167"/>
      <c r="Q44" s="167"/>
      <c r="R44" s="167"/>
      <c r="S44" s="167"/>
      <c r="T44" s="167"/>
      <c r="U44" s="167"/>
      <c r="V44" s="167"/>
      <c r="W44" s="167"/>
      <c r="AA44" s="167"/>
      <c r="AB44" s="167"/>
      <c r="AC44" s="167"/>
      <c r="AD44" s="167"/>
    </row>
    <row r="45" spans="2:30" x14ac:dyDescent="0.35">
      <c r="B45" s="169"/>
      <c r="C45" s="167"/>
      <c r="D45" s="170"/>
      <c r="E45" s="171" t="str">
        <f t="shared" si="8"/>
        <v xml:space="preserve"> </v>
      </c>
      <c r="F45" s="171" t="str">
        <f t="shared" si="8"/>
        <v xml:space="preserve"> </v>
      </c>
      <c r="G45" s="167"/>
      <c r="H45" s="167"/>
      <c r="I45" s="167"/>
      <c r="J45" s="167"/>
      <c r="K45" s="167"/>
      <c r="L45" s="167"/>
      <c r="M45" s="167"/>
      <c r="N45" s="167"/>
      <c r="O45" s="167"/>
      <c r="P45" s="167"/>
      <c r="Q45" s="167"/>
      <c r="R45" s="167"/>
      <c r="S45" s="167"/>
      <c r="T45" s="167"/>
      <c r="U45" s="167"/>
      <c r="V45" s="167"/>
      <c r="W45" s="167"/>
      <c r="AA45" s="167"/>
      <c r="AB45" s="167"/>
      <c r="AC45" s="167"/>
      <c r="AD45" s="167"/>
    </row>
    <row r="46" spans="2:30" x14ac:dyDescent="0.35">
      <c r="B46" s="169"/>
      <c r="C46" s="167"/>
      <c r="D46" s="170"/>
      <c r="E46" s="171" t="str">
        <f t="shared" si="8"/>
        <v xml:space="preserve"> </v>
      </c>
      <c r="F46" s="171" t="str">
        <f t="shared" si="8"/>
        <v xml:space="preserve"> </v>
      </c>
      <c r="G46" s="167"/>
      <c r="H46" s="167"/>
      <c r="I46" s="167"/>
      <c r="J46" s="167"/>
      <c r="K46" s="167"/>
      <c r="L46" s="167"/>
      <c r="M46" s="167"/>
      <c r="N46" s="167"/>
      <c r="O46" s="167"/>
      <c r="P46" s="167"/>
      <c r="Q46" s="167"/>
      <c r="R46" s="167"/>
      <c r="S46" s="167"/>
      <c r="T46" s="167"/>
      <c r="U46" s="167"/>
      <c r="V46" s="167"/>
      <c r="W46" s="167"/>
      <c r="X46" s="167"/>
      <c r="Y46" s="167"/>
      <c r="Z46" s="167"/>
      <c r="AA46" s="167"/>
      <c r="AB46" s="167"/>
      <c r="AC46" s="167"/>
      <c r="AD46" s="167"/>
    </row>
    <row r="47" spans="2:30" x14ac:dyDescent="0.35">
      <c r="B47" s="169"/>
      <c r="C47" s="167"/>
      <c r="D47" s="170"/>
      <c r="E47" s="171" t="str">
        <f t="shared" si="8"/>
        <v xml:space="preserve"> </v>
      </c>
      <c r="F47" s="171" t="str">
        <f t="shared" si="8"/>
        <v xml:space="preserve"> </v>
      </c>
      <c r="G47" s="167"/>
      <c r="H47" s="167"/>
      <c r="I47" s="167"/>
      <c r="J47" s="167"/>
      <c r="K47" s="167"/>
      <c r="L47" s="167"/>
      <c r="M47" s="167"/>
      <c r="N47" s="167"/>
      <c r="O47" s="167"/>
      <c r="P47" s="167"/>
      <c r="Q47" s="167"/>
      <c r="R47" s="167"/>
      <c r="S47" s="167"/>
      <c r="T47" s="167"/>
      <c r="U47" s="167"/>
      <c r="V47" s="167"/>
      <c r="W47" s="167"/>
      <c r="X47" s="167"/>
      <c r="Y47" s="167"/>
      <c r="Z47" s="167"/>
      <c r="AA47" s="167"/>
      <c r="AB47" s="167"/>
      <c r="AC47" s="167"/>
      <c r="AD47" s="167"/>
    </row>
    <row r="48" spans="2:30" x14ac:dyDescent="0.35">
      <c r="B48" s="169"/>
      <c r="C48" s="167"/>
      <c r="D48" s="170"/>
      <c r="E48" s="171" t="str">
        <f t="shared" si="8"/>
        <v xml:space="preserve"> </v>
      </c>
      <c r="F48" s="171" t="str">
        <f t="shared" si="8"/>
        <v xml:space="preserve"> </v>
      </c>
      <c r="G48" s="167"/>
      <c r="H48" s="167"/>
      <c r="I48" s="167"/>
      <c r="J48" s="167"/>
      <c r="K48" s="167"/>
      <c r="L48" s="167"/>
      <c r="M48" s="167"/>
      <c r="N48" s="167"/>
      <c r="O48" s="167"/>
      <c r="P48" s="167"/>
      <c r="Q48" s="167"/>
      <c r="R48" s="167"/>
      <c r="S48" s="167"/>
      <c r="T48" s="167"/>
      <c r="U48" s="167"/>
      <c r="V48" s="167"/>
      <c r="W48" s="167"/>
      <c r="X48" s="167"/>
      <c r="Y48" s="167"/>
      <c r="Z48" s="167"/>
      <c r="AA48" s="167"/>
      <c r="AB48" s="167"/>
      <c r="AC48" s="167"/>
      <c r="AD48" s="167"/>
    </row>
    <row r="49" spans="2:30" x14ac:dyDescent="0.35">
      <c r="B49" s="169"/>
      <c r="C49" s="172"/>
      <c r="D49" s="170"/>
      <c r="E49" s="171" t="str">
        <f t="shared" si="8"/>
        <v xml:space="preserve"> </v>
      </c>
      <c r="F49" s="171" t="str">
        <f t="shared" si="8"/>
        <v xml:space="preserve"> </v>
      </c>
      <c r="G49" s="167"/>
      <c r="H49" s="167"/>
      <c r="I49" s="167"/>
      <c r="J49" s="167"/>
      <c r="K49" s="167"/>
      <c r="L49" s="167"/>
      <c r="M49" s="167"/>
      <c r="N49" s="167"/>
      <c r="O49" s="167"/>
      <c r="P49" s="167"/>
      <c r="Q49" s="167"/>
      <c r="R49" s="167"/>
      <c r="S49" s="167"/>
      <c r="T49" s="167"/>
      <c r="U49" s="167"/>
      <c r="V49" s="167"/>
      <c r="W49" s="167"/>
      <c r="X49" s="167"/>
      <c r="Y49" s="167"/>
      <c r="Z49" s="167"/>
      <c r="AA49" s="167"/>
      <c r="AB49" s="167"/>
      <c r="AC49" s="167"/>
      <c r="AD49" s="167"/>
    </row>
    <row r="50" spans="2:30" x14ac:dyDescent="0.35">
      <c r="B50" s="169"/>
      <c r="C50" s="172"/>
      <c r="D50" s="170"/>
      <c r="E50" s="171" t="str">
        <f t="shared" si="8"/>
        <v xml:space="preserve"> </v>
      </c>
      <c r="F50" s="171" t="str">
        <f t="shared" si="8"/>
        <v xml:space="preserve"> </v>
      </c>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row>
    <row r="51" spans="2:30" x14ac:dyDescent="0.35">
      <c r="B51" s="169"/>
      <c r="C51" s="172"/>
      <c r="D51" s="170"/>
      <c r="E51" s="171" t="str">
        <f t="shared" si="8"/>
        <v xml:space="preserve"> </v>
      </c>
      <c r="F51" s="171" t="str">
        <f t="shared" si="8"/>
        <v xml:space="preserve"> </v>
      </c>
      <c r="G51" s="167"/>
      <c r="H51" s="167"/>
      <c r="I51" s="167"/>
      <c r="J51" s="167"/>
      <c r="K51" s="167"/>
      <c r="L51" s="167"/>
      <c r="M51" s="167"/>
      <c r="N51" s="167"/>
      <c r="O51" s="167"/>
      <c r="P51" s="167"/>
      <c r="Q51" s="167"/>
      <c r="R51" s="167"/>
      <c r="S51" s="167"/>
      <c r="T51" s="167"/>
      <c r="U51" s="167"/>
      <c r="V51" s="167"/>
      <c r="W51" s="167"/>
      <c r="X51" s="167"/>
      <c r="Y51" s="167"/>
      <c r="Z51" s="167"/>
      <c r="AA51" s="167"/>
      <c r="AB51" s="167"/>
      <c r="AC51" s="167"/>
      <c r="AD51" s="167"/>
    </row>
    <row r="52" spans="2:30" x14ac:dyDescent="0.35">
      <c r="B52" s="169"/>
      <c r="C52" s="172"/>
      <c r="D52" s="170"/>
      <c r="E52" s="171" t="str">
        <f t="shared" si="8"/>
        <v xml:space="preserve"> </v>
      </c>
      <c r="F52" s="171" t="str">
        <f t="shared" si="8"/>
        <v xml:space="preserve"> </v>
      </c>
      <c r="G52" s="167"/>
      <c r="H52" s="167"/>
      <c r="I52" s="167"/>
      <c r="J52" s="167"/>
      <c r="K52" s="167"/>
      <c r="L52" s="167"/>
      <c r="M52" s="167"/>
      <c r="N52" s="167"/>
      <c r="O52" s="167"/>
      <c r="P52" s="167"/>
      <c r="Q52" s="167"/>
      <c r="R52" s="167"/>
      <c r="S52" s="167"/>
      <c r="T52" s="167"/>
      <c r="U52" s="167"/>
      <c r="V52" s="167"/>
      <c r="W52" s="167"/>
      <c r="X52" s="167"/>
      <c r="Y52" s="167"/>
      <c r="Z52" s="167"/>
      <c r="AA52" s="167"/>
      <c r="AB52" s="167"/>
      <c r="AC52" s="167"/>
      <c r="AD52" s="167"/>
    </row>
    <row r="53" spans="2:30" x14ac:dyDescent="0.35">
      <c r="B53" s="169"/>
      <c r="C53" s="172"/>
      <c r="D53" s="170"/>
      <c r="E53" s="171" t="str">
        <f t="shared" si="8"/>
        <v xml:space="preserve"> </v>
      </c>
      <c r="F53" s="171" t="str">
        <f t="shared" si="8"/>
        <v xml:space="preserve"> </v>
      </c>
      <c r="G53" s="167"/>
      <c r="H53" s="167"/>
      <c r="I53" s="167"/>
      <c r="J53" s="167"/>
      <c r="K53" s="167"/>
      <c r="L53" s="167"/>
      <c r="M53" s="167"/>
      <c r="N53" s="167"/>
      <c r="O53" s="167"/>
      <c r="P53" s="167"/>
      <c r="Q53" s="167"/>
      <c r="R53" s="167"/>
      <c r="S53" s="167"/>
      <c r="T53" s="167"/>
      <c r="U53" s="167"/>
      <c r="V53" s="167"/>
      <c r="W53" s="167"/>
      <c r="X53" s="167"/>
      <c r="Y53" s="167"/>
      <c r="Z53" s="167"/>
      <c r="AA53" s="167"/>
      <c r="AB53" s="167"/>
      <c r="AC53" s="167"/>
      <c r="AD53" s="167"/>
    </row>
    <row r="54" spans="2:30" x14ac:dyDescent="0.35">
      <c r="B54" s="169"/>
      <c r="C54" s="172"/>
      <c r="D54" s="170"/>
      <c r="E54" s="171" t="str">
        <f t="shared" si="8"/>
        <v xml:space="preserve"> </v>
      </c>
      <c r="F54" s="171" t="str">
        <f t="shared" si="8"/>
        <v xml:space="preserve"> </v>
      </c>
      <c r="G54" s="167"/>
      <c r="H54" s="167"/>
      <c r="I54" s="167"/>
      <c r="J54" s="167"/>
      <c r="K54" s="167"/>
      <c r="L54" s="167"/>
      <c r="M54" s="167"/>
      <c r="N54" s="167"/>
      <c r="O54" s="167"/>
      <c r="P54" s="167"/>
      <c r="Q54" s="167"/>
      <c r="R54" s="167"/>
      <c r="S54" s="167"/>
      <c r="T54" s="167"/>
      <c r="U54" s="167"/>
      <c r="V54" s="167"/>
      <c r="W54" s="167"/>
      <c r="X54" s="167"/>
      <c r="Y54" s="167"/>
      <c r="Z54" s="167"/>
      <c r="AA54" s="167"/>
      <c r="AB54" s="167"/>
      <c r="AC54" s="167"/>
      <c r="AD54" s="167"/>
    </row>
    <row r="55" spans="2:30" x14ac:dyDescent="0.35">
      <c r="B55" s="169"/>
      <c r="C55" s="172"/>
      <c r="D55" s="170"/>
      <c r="E55" s="171" t="str">
        <f t="shared" si="8"/>
        <v xml:space="preserve"> </v>
      </c>
      <c r="F55" s="171" t="str">
        <f t="shared" si="8"/>
        <v xml:space="preserve"> </v>
      </c>
      <c r="G55" s="167"/>
      <c r="H55" s="167"/>
      <c r="I55" s="167"/>
      <c r="J55" s="167"/>
      <c r="K55" s="167"/>
      <c r="L55" s="167"/>
      <c r="M55" s="167"/>
      <c r="N55" s="167"/>
      <c r="O55" s="167"/>
      <c r="P55" s="167"/>
      <c r="Q55" s="167"/>
      <c r="R55" s="167"/>
      <c r="S55" s="167"/>
      <c r="T55" s="167"/>
      <c r="U55" s="167"/>
      <c r="V55" s="167"/>
      <c r="W55" s="167"/>
      <c r="X55" s="167"/>
      <c r="Y55" s="167"/>
      <c r="Z55" s="167"/>
      <c r="AA55" s="167"/>
      <c r="AB55" s="167"/>
      <c r="AC55" s="167"/>
      <c r="AD55" s="167"/>
    </row>
    <row r="56" spans="2:30" x14ac:dyDescent="0.35">
      <c r="B56" s="169"/>
      <c r="C56" s="172"/>
      <c r="D56" s="170"/>
      <c r="E56" s="171" t="str">
        <f t="shared" si="8"/>
        <v xml:space="preserve"> </v>
      </c>
      <c r="F56" s="171" t="str">
        <f t="shared" si="8"/>
        <v xml:space="preserve"> </v>
      </c>
      <c r="G56" s="167"/>
      <c r="H56" s="167"/>
      <c r="I56" s="167"/>
      <c r="J56" s="167"/>
      <c r="K56" s="167"/>
      <c r="L56" s="167"/>
      <c r="M56" s="167"/>
      <c r="N56" s="167"/>
      <c r="O56" s="167"/>
      <c r="P56" s="167"/>
      <c r="Q56" s="167"/>
      <c r="R56" s="167"/>
      <c r="S56" s="167"/>
      <c r="T56" s="167"/>
      <c r="U56" s="167"/>
      <c r="V56" s="167"/>
      <c r="W56" s="167"/>
      <c r="X56" s="167"/>
      <c r="Y56" s="167"/>
      <c r="Z56" s="167"/>
      <c r="AA56" s="167"/>
      <c r="AB56" s="167"/>
      <c r="AC56" s="167"/>
      <c r="AD56" s="167"/>
    </row>
    <row r="57" spans="2:30" x14ac:dyDescent="0.35">
      <c r="B57" s="169"/>
      <c r="C57" s="172"/>
      <c r="D57" s="170"/>
      <c r="E57" s="171" t="str">
        <f t="shared" si="8"/>
        <v xml:space="preserve"> </v>
      </c>
      <c r="F57" s="171" t="str">
        <f t="shared" si="8"/>
        <v xml:space="preserve"> </v>
      </c>
      <c r="G57" s="167"/>
      <c r="H57" s="167"/>
      <c r="I57" s="167"/>
      <c r="J57" s="167"/>
      <c r="K57" s="167"/>
      <c r="L57" s="167"/>
      <c r="M57" s="167"/>
      <c r="N57" s="167"/>
      <c r="O57" s="167"/>
      <c r="P57" s="167"/>
      <c r="Q57" s="167"/>
      <c r="R57" s="167"/>
      <c r="S57" s="167"/>
      <c r="T57" s="167"/>
      <c r="U57" s="167"/>
      <c r="V57" s="167"/>
      <c r="W57" s="167"/>
      <c r="X57" s="167"/>
      <c r="Y57" s="167"/>
      <c r="Z57" s="167"/>
      <c r="AA57" s="167"/>
      <c r="AB57" s="167"/>
      <c r="AC57" s="167"/>
      <c r="AD57" s="167"/>
    </row>
    <row r="58" spans="2:30" x14ac:dyDescent="0.35">
      <c r="B58" s="169"/>
      <c r="C58" s="172"/>
      <c r="D58" s="170"/>
      <c r="E58" s="171" t="str">
        <f t="shared" si="8"/>
        <v xml:space="preserve"> </v>
      </c>
      <c r="F58" s="171" t="str">
        <f t="shared" si="8"/>
        <v xml:space="preserve"> </v>
      </c>
      <c r="G58" s="167"/>
      <c r="H58" s="167"/>
      <c r="I58" s="167"/>
      <c r="J58" s="167"/>
      <c r="K58" s="167"/>
      <c r="L58" s="167"/>
      <c r="M58" s="167"/>
      <c r="N58" s="167"/>
      <c r="O58" s="167"/>
      <c r="P58" s="167"/>
      <c r="Q58" s="167"/>
      <c r="R58" s="167"/>
      <c r="S58" s="167"/>
      <c r="T58" s="167"/>
      <c r="U58" s="167"/>
      <c r="V58" s="167"/>
      <c r="W58" s="167"/>
      <c r="X58" s="167"/>
      <c r="Y58" s="167"/>
      <c r="Z58" s="167"/>
      <c r="AA58" s="167"/>
      <c r="AB58" s="167"/>
      <c r="AC58" s="167"/>
      <c r="AD58" s="167"/>
    </row>
    <row r="59" spans="2:30" x14ac:dyDescent="0.35">
      <c r="B59" s="169"/>
      <c r="C59" s="172"/>
      <c r="D59" s="170"/>
      <c r="E59" s="171" t="str">
        <f t="shared" si="8"/>
        <v xml:space="preserve"> </v>
      </c>
      <c r="F59" s="171" t="str">
        <f t="shared" si="8"/>
        <v xml:space="preserve"> </v>
      </c>
      <c r="G59" s="167"/>
      <c r="H59" s="167"/>
      <c r="I59" s="167"/>
      <c r="J59" s="167"/>
      <c r="K59" s="167"/>
      <c r="L59" s="167"/>
      <c r="M59" s="167"/>
      <c r="N59" s="167"/>
      <c r="O59" s="167"/>
      <c r="P59" s="167"/>
      <c r="Q59" s="167"/>
      <c r="R59" s="167"/>
      <c r="S59" s="167"/>
      <c r="T59" s="167"/>
      <c r="U59" s="167"/>
      <c r="V59" s="167"/>
      <c r="W59" s="167"/>
      <c r="X59" s="167"/>
      <c r="Y59" s="167"/>
      <c r="Z59" s="167"/>
      <c r="AA59" s="167"/>
      <c r="AB59" s="167"/>
      <c r="AC59" s="167"/>
      <c r="AD59" s="167"/>
    </row>
    <row r="60" spans="2:30" x14ac:dyDescent="0.35">
      <c r="B60" s="169"/>
      <c r="C60" s="172"/>
      <c r="D60" s="170"/>
      <c r="E60" s="171" t="str">
        <f t="shared" si="8"/>
        <v xml:space="preserve"> </v>
      </c>
      <c r="F60" s="171" t="str">
        <f t="shared" si="8"/>
        <v xml:space="preserve"> </v>
      </c>
      <c r="G60" s="167"/>
      <c r="H60" s="167"/>
      <c r="I60" s="167"/>
      <c r="J60" s="167"/>
      <c r="K60" s="167"/>
      <c r="L60" s="167"/>
      <c r="M60" s="167"/>
      <c r="N60" s="167"/>
      <c r="O60" s="167"/>
      <c r="P60" s="167"/>
      <c r="Q60" s="167"/>
      <c r="R60" s="167"/>
      <c r="S60" s="167"/>
      <c r="T60" s="167"/>
      <c r="U60" s="167"/>
      <c r="V60" s="167"/>
      <c r="W60" s="167"/>
      <c r="X60" s="167"/>
      <c r="Y60" s="167"/>
      <c r="Z60" s="167"/>
      <c r="AA60" s="167"/>
      <c r="AB60" s="167"/>
      <c r="AC60" s="167"/>
      <c r="AD60" s="167"/>
    </row>
    <row r="61" spans="2:30" s="114" customFormat="1" x14ac:dyDescent="0.35">
      <c r="B61" s="169"/>
      <c r="C61" s="172"/>
      <c r="D61" s="170"/>
      <c r="E61" s="171" t="str">
        <f t="shared" si="8"/>
        <v xml:space="preserve"> </v>
      </c>
      <c r="F61" s="171" t="str">
        <f t="shared" si="8"/>
        <v xml:space="preserve"> </v>
      </c>
      <c r="G61" s="173"/>
      <c r="H61" s="173"/>
      <c r="I61" s="173"/>
      <c r="J61" s="173"/>
      <c r="K61" s="173"/>
      <c r="L61" s="173"/>
      <c r="M61" s="173"/>
      <c r="N61" s="167"/>
      <c r="O61" s="173"/>
      <c r="P61" s="173"/>
      <c r="Q61" s="173"/>
      <c r="R61" s="173"/>
      <c r="S61" s="173"/>
      <c r="T61" s="173"/>
      <c r="U61" s="173"/>
      <c r="V61" s="173"/>
      <c r="W61" s="173"/>
      <c r="X61" s="173"/>
      <c r="Y61" s="173"/>
      <c r="Z61" s="173"/>
      <c r="AA61" s="173"/>
      <c r="AB61" s="173"/>
      <c r="AC61" s="173"/>
      <c r="AD61" s="173"/>
    </row>
    <row r="62" spans="2:30" x14ac:dyDescent="0.35">
      <c r="B62" s="169"/>
      <c r="C62" s="172"/>
      <c r="D62" s="170"/>
      <c r="E62" s="171" t="str">
        <f t="shared" si="8"/>
        <v xml:space="preserve"> </v>
      </c>
      <c r="F62" s="171" t="str">
        <f t="shared" si="8"/>
        <v xml:space="preserve"> </v>
      </c>
      <c r="G62" s="167"/>
      <c r="H62" s="167"/>
      <c r="I62" s="167"/>
      <c r="J62" s="167"/>
      <c r="K62" s="167"/>
      <c r="L62" s="167"/>
      <c r="M62" s="167"/>
      <c r="N62" s="167"/>
      <c r="O62" s="167"/>
      <c r="P62" s="167"/>
      <c r="Q62" s="167"/>
      <c r="R62" s="167"/>
      <c r="S62" s="167"/>
      <c r="T62" s="167"/>
      <c r="U62" s="167"/>
      <c r="V62" s="167"/>
      <c r="W62" s="167"/>
      <c r="X62" s="167"/>
      <c r="Y62" s="167"/>
      <c r="Z62" s="167"/>
      <c r="AA62" s="167"/>
      <c r="AB62" s="167"/>
      <c r="AC62" s="167"/>
      <c r="AD62" s="167"/>
    </row>
    <row r="63" spans="2:30" x14ac:dyDescent="0.35">
      <c r="B63" s="169"/>
      <c r="C63" s="172"/>
      <c r="D63" s="170"/>
      <c r="E63" s="171" t="str">
        <f t="shared" si="8"/>
        <v xml:space="preserve"> </v>
      </c>
      <c r="F63" s="171" t="str">
        <f t="shared" si="8"/>
        <v xml:space="preserve"> </v>
      </c>
      <c r="G63" s="167"/>
      <c r="H63" s="167"/>
      <c r="I63" s="167"/>
      <c r="J63" s="167"/>
      <c r="K63" s="167"/>
      <c r="L63" s="167"/>
      <c r="M63" s="167"/>
      <c r="N63" s="167"/>
      <c r="O63" s="167"/>
      <c r="P63" s="167"/>
      <c r="Q63" s="167"/>
      <c r="R63" s="167"/>
      <c r="S63" s="167"/>
      <c r="T63" s="167"/>
      <c r="U63" s="167"/>
      <c r="V63" s="167"/>
      <c r="W63" s="167"/>
      <c r="X63" s="167"/>
      <c r="Y63" s="167"/>
      <c r="Z63" s="167"/>
      <c r="AA63" s="167"/>
      <c r="AB63" s="167"/>
      <c r="AC63" s="167"/>
      <c r="AD63" s="167"/>
    </row>
    <row r="64" spans="2:30" x14ac:dyDescent="0.35">
      <c r="B64" s="169"/>
      <c r="C64" s="172"/>
      <c r="D64" s="170"/>
      <c r="E64" s="171" t="str">
        <f t="shared" si="8"/>
        <v xml:space="preserve"> </v>
      </c>
      <c r="F64" s="171" t="str">
        <f t="shared" si="8"/>
        <v xml:space="preserve"> </v>
      </c>
      <c r="G64" s="167"/>
      <c r="H64" s="167"/>
      <c r="I64" s="167"/>
      <c r="J64" s="167"/>
      <c r="K64" s="167"/>
      <c r="L64" s="167"/>
      <c r="M64" s="167"/>
      <c r="N64" s="167"/>
      <c r="O64" s="167"/>
      <c r="P64" s="167"/>
      <c r="Q64" s="167"/>
      <c r="R64" s="167"/>
      <c r="S64" s="167"/>
      <c r="T64" s="167"/>
      <c r="U64" s="167"/>
      <c r="V64" s="167"/>
      <c r="W64" s="167"/>
      <c r="X64" s="167"/>
      <c r="Y64" s="167"/>
      <c r="Z64" s="167"/>
      <c r="AA64" s="167"/>
      <c r="AB64" s="167"/>
      <c r="AC64" s="167"/>
      <c r="AD64" s="167"/>
    </row>
    <row r="65" spans="2:30" x14ac:dyDescent="0.35">
      <c r="B65" s="169"/>
      <c r="C65" s="172"/>
      <c r="D65" s="170"/>
      <c r="E65" s="171" t="str">
        <f t="shared" si="8"/>
        <v xml:space="preserve"> </v>
      </c>
      <c r="F65" s="171" t="str">
        <f t="shared" si="8"/>
        <v xml:space="preserve"> </v>
      </c>
      <c r="G65" s="167"/>
      <c r="H65" s="167"/>
      <c r="I65" s="167"/>
      <c r="J65" s="167"/>
      <c r="K65" s="167"/>
      <c r="L65" s="167"/>
      <c r="M65" s="167"/>
      <c r="N65" s="167"/>
      <c r="O65" s="167"/>
      <c r="P65" s="167"/>
      <c r="Q65" s="167"/>
      <c r="R65" s="167"/>
      <c r="S65" s="167"/>
      <c r="T65" s="167"/>
      <c r="U65" s="167"/>
      <c r="V65" s="167"/>
      <c r="W65" s="167"/>
      <c r="X65" s="167"/>
      <c r="Y65" s="167"/>
      <c r="Z65" s="167"/>
      <c r="AA65" s="167"/>
      <c r="AB65" s="167"/>
      <c r="AC65" s="167"/>
      <c r="AD65" s="167"/>
    </row>
    <row r="66" spans="2:30" x14ac:dyDescent="0.35">
      <c r="B66" s="169"/>
      <c r="C66" s="172"/>
      <c r="D66" s="170"/>
      <c r="E66" s="171" t="str">
        <f t="shared" si="8"/>
        <v xml:space="preserve"> </v>
      </c>
      <c r="F66" s="171" t="str">
        <f t="shared" si="8"/>
        <v xml:space="preserve"> </v>
      </c>
      <c r="G66" s="167"/>
      <c r="H66" s="167"/>
      <c r="I66" s="167"/>
      <c r="J66" s="167"/>
      <c r="K66" s="167"/>
      <c r="L66" s="167"/>
      <c r="M66" s="167"/>
      <c r="N66" s="167"/>
      <c r="O66" s="167"/>
      <c r="P66" s="167"/>
      <c r="Q66" s="167"/>
      <c r="R66" s="167"/>
      <c r="S66" s="167"/>
      <c r="T66" s="167"/>
      <c r="U66" s="167"/>
      <c r="V66" s="167"/>
      <c r="W66" s="167"/>
      <c r="X66" s="167"/>
      <c r="Y66" s="167"/>
      <c r="Z66" s="167"/>
      <c r="AA66" s="167"/>
      <c r="AB66" s="167"/>
      <c r="AC66" s="167"/>
      <c r="AD66" s="167"/>
    </row>
    <row r="67" spans="2:30" x14ac:dyDescent="0.35">
      <c r="B67" s="169"/>
      <c r="C67" s="172"/>
      <c r="D67" s="170"/>
      <c r="E67" s="171" t="str">
        <f t="shared" si="8"/>
        <v xml:space="preserve"> </v>
      </c>
      <c r="F67" s="171" t="str">
        <f t="shared" si="8"/>
        <v xml:space="preserve"> </v>
      </c>
      <c r="G67" s="167"/>
      <c r="H67" s="167"/>
      <c r="I67" s="167"/>
      <c r="J67" s="167"/>
      <c r="K67" s="167"/>
      <c r="L67" s="167"/>
      <c r="M67" s="167"/>
      <c r="N67" s="167"/>
      <c r="O67" s="167"/>
      <c r="P67" s="167"/>
      <c r="Q67" s="167"/>
      <c r="R67" s="167"/>
      <c r="S67" s="167"/>
      <c r="T67" s="167"/>
      <c r="U67" s="167"/>
      <c r="V67" s="167"/>
      <c r="W67" s="167"/>
      <c r="X67" s="167"/>
      <c r="Y67" s="167"/>
      <c r="Z67" s="167"/>
      <c r="AA67" s="167"/>
      <c r="AB67" s="167"/>
      <c r="AC67" s="167"/>
      <c r="AD67" s="167"/>
    </row>
    <row r="68" spans="2:30" s="168" customFormat="1" x14ac:dyDescent="0.35">
      <c r="B68" s="174"/>
      <c r="C68" s="175"/>
      <c r="D68" s="176"/>
      <c r="E68" s="177" t="str">
        <f t="shared" si="8"/>
        <v xml:space="preserve"> </v>
      </c>
      <c r="F68" s="177" t="str">
        <f t="shared" si="8"/>
        <v xml:space="preserve"> </v>
      </c>
      <c r="G68" s="173"/>
      <c r="H68" s="173"/>
      <c r="I68" s="173"/>
      <c r="J68" s="173"/>
      <c r="K68" s="173"/>
      <c r="L68" s="173"/>
      <c r="M68" s="173"/>
      <c r="N68" s="173"/>
      <c r="O68" s="173"/>
      <c r="P68" s="173"/>
      <c r="Q68" s="173"/>
      <c r="R68" s="173"/>
      <c r="S68" s="173"/>
      <c r="T68" s="173"/>
      <c r="U68" s="173"/>
      <c r="V68" s="173"/>
      <c r="W68" s="173"/>
      <c r="X68" s="173"/>
      <c r="Y68" s="173"/>
      <c r="Z68" s="173"/>
      <c r="AA68" s="173"/>
      <c r="AB68" s="173"/>
      <c r="AC68" s="173"/>
      <c r="AD68" s="173"/>
    </row>
    <row r="69" spans="2:30" x14ac:dyDescent="0.35">
      <c r="B69" s="169"/>
      <c r="C69" s="167"/>
      <c r="D69" s="170"/>
      <c r="E69" s="171" t="str">
        <f t="shared" si="8"/>
        <v xml:space="preserve"> </v>
      </c>
      <c r="F69" s="171" t="str">
        <f t="shared" si="8"/>
        <v xml:space="preserve"> </v>
      </c>
      <c r="G69" s="167"/>
      <c r="H69" s="167"/>
      <c r="I69" s="167"/>
      <c r="J69" s="167"/>
      <c r="K69" s="167"/>
      <c r="L69" s="167"/>
      <c r="M69" s="167"/>
      <c r="N69" s="167"/>
      <c r="O69" s="167"/>
      <c r="P69" s="167"/>
      <c r="Q69" s="167"/>
      <c r="R69" s="167"/>
      <c r="S69" s="167"/>
      <c r="T69" s="167"/>
      <c r="U69" s="167"/>
      <c r="V69" s="167"/>
      <c r="W69" s="167"/>
      <c r="X69" s="167"/>
      <c r="Y69" s="167"/>
      <c r="Z69" s="167"/>
      <c r="AA69" s="167"/>
      <c r="AB69" s="167"/>
      <c r="AC69" s="167"/>
      <c r="AD69" s="167"/>
    </row>
    <row r="70" spans="2:30" x14ac:dyDescent="0.35">
      <c r="B70" s="169"/>
      <c r="C70" s="167"/>
      <c r="D70" s="170"/>
      <c r="E70" s="171" t="str">
        <f t="shared" si="8"/>
        <v xml:space="preserve"> </v>
      </c>
      <c r="F70" s="171" t="str">
        <f t="shared" si="8"/>
        <v xml:space="preserve"> </v>
      </c>
      <c r="G70" s="167"/>
      <c r="H70" s="167"/>
      <c r="I70" s="167"/>
      <c r="J70" s="167"/>
      <c r="K70" s="167"/>
      <c r="L70" s="167"/>
      <c r="M70" s="167"/>
      <c r="N70" s="167"/>
      <c r="O70" s="167"/>
      <c r="P70" s="167"/>
      <c r="Q70" s="167"/>
      <c r="R70" s="167"/>
      <c r="S70" s="167"/>
      <c r="T70" s="167"/>
      <c r="U70" s="167"/>
      <c r="V70" s="167"/>
      <c r="W70" s="167"/>
      <c r="X70" s="167"/>
      <c r="Y70" s="167"/>
      <c r="Z70" s="167"/>
      <c r="AA70" s="167"/>
      <c r="AB70" s="167"/>
      <c r="AC70" s="167"/>
      <c r="AD70" s="167"/>
    </row>
    <row r="71" spans="2:30" x14ac:dyDescent="0.35">
      <c r="B71" s="169"/>
      <c r="C71" s="167"/>
      <c r="D71" s="170"/>
      <c r="E71" s="171" t="str">
        <f t="shared" si="8"/>
        <v xml:space="preserve"> </v>
      </c>
      <c r="F71" s="171" t="str">
        <f t="shared" si="8"/>
        <v xml:space="preserve"> </v>
      </c>
      <c r="G71" s="167"/>
      <c r="H71" s="167"/>
      <c r="I71" s="167"/>
      <c r="J71" s="167"/>
      <c r="K71" s="167"/>
      <c r="L71" s="167"/>
      <c r="M71" s="167"/>
      <c r="N71" s="167"/>
      <c r="O71" s="167"/>
      <c r="P71" s="167"/>
      <c r="Q71" s="167"/>
      <c r="R71" s="167"/>
      <c r="S71" s="167"/>
      <c r="T71" s="167"/>
      <c r="U71" s="167"/>
      <c r="V71" s="167"/>
      <c r="W71" s="167"/>
      <c r="X71" s="167"/>
      <c r="Y71" s="167"/>
      <c r="Z71" s="167"/>
      <c r="AA71" s="167"/>
      <c r="AB71" s="167"/>
      <c r="AC71" s="167"/>
      <c r="AD71" s="167"/>
    </row>
    <row r="72" spans="2:30" x14ac:dyDescent="0.35">
      <c r="B72" s="169"/>
      <c r="C72" s="167"/>
      <c r="D72" s="170"/>
      <c r="E72" s="171" t="str">
        <f t="shared" si="8"/>
        <v xml:space="preserve"> </v>
      </c>
      <c r="F72" s="171" t="str">
        <f t="shared" si="8"/>
        <v xml:space="preserve"> </v>
      </c>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row>
    <row r="73" spans="2:30" x14ac:dyDescent="0.35">
      <c r="B73" s="169"/>
      <c r="C73" s="167"/>
      <c r="D73" s="170"/>
      <c r="E73" s="171" t="str">
        <f t="shared" si="8"/>
        <v xml:space="preserve"> </v>
      </c>
      <c r="F73" s="171" t="str">
        <f t="shared" si="8"/>
        <v xml:space="preserve"> </v>
      </c>
      <c r="G73" s="167"/>
      <c r="H73" s="167"/>
      <c r="I73" s="167"/>
      <c r="J73" s="167"/>
      <c r="K73" s="167"/>
      <c r="L73" s="167"/>
      <c r="M73" s="167"/>
      <c r="N73" s="167"/>
      <c r="O73" s="167"/>
      <c r="P73" s="167"/>
      <c r="Q73" s="167"/>
      <c r="R73" s="167"/>
      <c r="S73" s="167"/>
      <c r="T73" s="167"/>
      <c r="U73" s="167"/>
      <c r="V73" s="167"/>
      <c r="W73" s="167"/>
      <c r="X73" s="167"/>
      <c r="Y73" s="167"/>
      <c r="Z73" s="167"/>
      <c r="AA73" s="167"/>
      <c r="AB73" s="167"/>
      <c r="AC73" s="167"/>
      <c r="AD73" s="167"/>
    </row>
    <row r="74" spans="2:30" x14ac:dyDescent="0.35">
      <c r="B74" s="169"/>
      <c r="C74" s="167"/>
      <c r="D74" s="170"/>
      <c r="E74" s="171" t="str">
        <f t="shared" si="8"/>
        <v xml:space="preserve"> </v>
      </c>
      <c r="F74" s="171" t="str">
        <f t="shared" si="8"/>
        <v xml:space="preserve"> </v>
      </c>
      <c r="G74" s="167"/>
      <c r="H74" s="167"/>
      <c r="I74" s="167"/>
      <c r="J74" s="167"/>
      <c r="K74" s="167"/>
      <c r="L74" s="167"/>
      <c r="M74" s="167"/>
      <c r="N74" s="167"/>
      <c r="O74" s="167"/>
      <c r="P74" s="167"/>
      <c r="Q74" s="167"/>
      <c r="R74" s="167"/>
      <c r="S74" s="167"/>
      <c r="T74" s="167"/>
      <c r="U74" s="167"/>
      <c r="V74" s="167"/>
      <c r="W74" s="167"/>
      <c r="X74" s="167"/>
      <c r="Y74" s="167"/>
      <c r="Z74" s="167"/>
      <c r="AA74" s="167"/>
      <c r="AB74" s="167"/>
      <c r="AC74" s="167"/>
      <c r="AD74" s="167"/>
    </row>
    <row r="75" spans="2:30" x14ac:dyDescent="0.35">
      <c r="B75" s="169"/>
      <c r="C75" s="167"/>
      <c r="D75" s="170"/>
      <c r="E75" s="171" t="str">
        <f t="shared" si="8"/>
        <v xml:space="preserve"> </v>
      </c>
      <c r="F75" s="171" t="str">
        <f t="shared" si="8"/>
        <v xml:space="preserve"> </v>
      </c>
      <c r="G75" s="167"/>
      <c r="H75" s="167"/>
      <c r="I75" s="167"/>
      <c r="J75" s="167"/>
      <c r="K75" s="167"/>
      <c r="L75" s="167"/>
      <c r="M75" s="167"/>
      <c r="N75" s="167"/>
      <c r="O75" s="167"/>
      <c r="P75" s="167"/>
      <c r="Q75" s="167"/>
      <c r="R75" s="167"/>
      <c r="S75" s="167"/>
      <c r="T75" s="167"/>
      <c r="U75" s="167"/>
      <c r="V75" s="167"/>
      <c r="W75" s="167"/>
      <c r="X75" s="167"/>
      <c r="Y75" s="167"/>
      <c r="Z75" s="167"/>
      <c r="AA75" s="167"/>
      <c r="AB75" s="167"/>
      <c r="AC75" s="167"/>
      <c r="AD75" s="167"/>
    </row>
    <row r="76" spans="2:30" x14ac:dyDescent="0.35">
      <c r="B76" s="169"/>
      <c r="C76" s="167"/>
      <c r="D76" s="170"/>
      <c r="E76" s="171" t="str">
        <f t="shared" si="8"/>
        <v xml:space="preserve"> </v>
      </c>
      <c r="F76" s="171" t="str">
        <f t="shared" si="8"/>
        <v xml:space="preserve"> </v>
      </c>
      <c r="G76" s="167"/>
      <c r="H76" s="167"/>
      <c r="I76" s="167"/>
      <c r="J76" s="167"/>
      <c r="K76" s="167"/>
      <c r="L76" s="167"/>
      <c r="M76" s="167"/>
      <c r="N76" s="167"/>
      <c r="O76" s="167"/>
      <c r="P76" s="167"/>
      <c r="Q76" s="167"/>
      <c r="R76" s="167"/>
      <c r="S76" s="167"/>
      <c r="T76" s="167"/>
      <c r="U76" s="167"/>
      <c r="V76" s="167"/>
      <c r="W76" s="167"/>
      <c r="X76" s="167"/>
      <c r="Y76" s="167"/>
      <c r="Z76" s="167"/>
      <c r="AA76" s="167"/>
      <c r="AB76" s="167"/>
      <c r="AC76" s="167"/>
      <c r="AD76" s="167"/>
    </row>
    <row r="77" spans="2:30" x14ac:dyDescent="0.35">
      <c r="B77" s="169"/>
      <c r="C77" s="167"/>
      <c r="D77" s="170"/>
      <c r="E77" s="171" t="str">
        <f t="shared" si="8"/>
        <v xml:space="preserve"> </v>
      </c>
      <c r="F77" s="171" t="str">
        <f t="shared" si="8"/>
        <v xml:space="preserve"> </v>
      </c>
      <c r="G77" s="167"/>
      <c r="H77" s="167"/>
      <c r="I77" s="167"/>
      <c r="J77" s="167"/>
      <c r="K77" s="167"/>
      <c r="L77" s="167"/>
      <c r="M77" s="167"/>
      <c r="N77" s="167"/>
      <c r="O77" s="167"/>
      <c r="P77" s="167"/>
      <c r="Q77" s="167"/>
      <c r="R77" s="167"/>
      <c r="S77" s="167"/>
      <c r="T77" s="167"/>
      <c r="U77" s="167"/>
      <c r="V77" s="167"/>
      <c r="W77" s="167"/>
      <c r="X77" s="167"/>
      <c r="Y77" s="167"/>
      <c r="Z77" s="167"/>
      <c r="AA77" s="167"/>
      <c r="AB77" s="167"/>
      <c r="AC77" s="167"/>
      <c r="AD77" s="167"/>
    </row>
    <row r="78" spans="2:30" x14ac:dyDescent="0.35">
      <c r="B78" s="169"/>
      <c r="C78" s="167"/>
      <c r="D78" s="170"/>
      <c r="E78" s="171" t="str">
        <f t="shared" si="8"/>
        <v xml:space="preserve"> </v>
      </c>
      <c r="F78" s="171" t="str">
        <f t="shared" si="8"/>
        <v xml:space="preserve"> </v>
      </c>
      <c r="G78" s="167"/>
      <c r="H78" s="167"/>
      <c r="I78" s="167"/>
      <c r="J78" s="167"/>
      <c r="K78" s="167"/>
      <c r="L78" s="167"/>
      <c r="M78" s="167"/>
      <c r="N78" s="167"/>
      <c r="O78" s="167"/>
      <c r="P78" s="167"/>
      <c r="Q78" s="167"/>
      <c r="R78" s="167"/>
      <c r="S78" s="167"/>
      <c r="T78" s="167"/>
      <c r="U78" s="167"/>
      <c r="V78" s="167"/>
      <c r="W78" s="167"/>
      <c r="X78" s="167"/>
      <c r="Y78" s="167"/>
      <c r="Z78" s="167"/>
      <c r="AA78" s="167"/>
      <c r="AB78" s="167"/>
      <c r="AC78" s="167"/>
      <c r="AD78" s="167"/>
    </row>
    <row r="79" spans="2:30" x14ac:dyDescent="0.35">
      <c r="B79" s="169"/>
      <c r="C79" s="167"/>
      <c r="D79" s="170"/>
      <c r="E79" s="171" t="str">
        <f t="shared" si="8"/>
        <v xml:space="preserve"> </v>
      </c>
      <c r="F79" s="171" t="str">
        <f t="shared" si="8"/>
        <v xml:space="preserve"> </v>
      </c>
      <c r="G79" s="167"/>
      <c r="H79" s="167"/>
      <c r="I79" s="167"/>
      <c r="J79" s="167"/>
      <c r="K79" s="167"/>
      <c r="L79" s="167"/>
      <c r="M79" s="167"/>
      <c r="N79" s="167"/>
      <c r="O79" s="167"/>
      <c r="P79" s="167"/>
      <c r="Q79" s="167"/>
      <c r="R79" s="167"/>
      <c r="S79" s="167"/>
      <c r="T79" s="167"/>
      <c r="U79" s="167"/>
      <c r="V79" s="167"/>
      <c r="W79" s="167"/>
      <c r="X79" s="167"/>
      <c r="Y79" s="167"/>
      <c r="Z79" s="167"/>
      <c r="AA79" s="167"/>
      <c r="AB79" s="167"/>
      <c r="AC79" s="167"/>
      <c r="AD79" s="167"/>
    </row>
    <row r="80" spans="2:30" x14ac:dyDescent="0.35">
      <c r="B80" s="169"/>
      <c r="C80" s="167"/>
      <c r="D80" s="170"/>
      <c r="E80" s="171" t="str">
        <f t="shared" si="8"/>
        <v xml:space="preserve"> </v>
      </c>
      <c r="F80" s="171" t="str">
        <f t="shared" si="8"/>
        <v xml:space="preserve"> </v>
      </c>
      <c r="G80" s="167"/>
      <c r="H80" s="167"/>
      <c r="I80" s="167"/>
      <c r="J80" s="167"/>
      <c r="K80" s="167"/>
      <c r="L80" s="167"/>
      <c r="M80" s="167"/>
      <c r="N80" s="167"/>
      <c r="O80" s="167"/>
      <c r="P80" s="167"/>
      <c r="Q80" s="167"/>
      <c r="R80" s="167"/>
      <c r="S80" s="167"/>
      <c r="T80" s="167"/>
      <c r="U80" s="167"/>
      <c r="V80" s="167"/>
      <c r="W80" s="167"/>
      <c r="X80" s="167"/>
      <c r="Y80" s="167"/>
      <c r="Z80" s="167"/>
      <c r="AA80" s="167"/>
      <c r="AB80" s="167"/>
      <c r="AC80" s="167"/>
      <c r="AD80" s="167"/>
    </row>
    <row r="81" spans="2:30" x14ac:dyDescent="0.35">
      <c r="B81" s="169"/>
      <c r="C81" s="167"/>
      <c r="D81" s="170"/>
      <c r="E81" s="171" t="str">
        <f t="shared" si="8"/>
        <v xml:space="preserve"> </v>
      </c>
      <c r="F81" s="171" t="str">
        <f t="shared" si="8"/>
        <v xml:space="preserve"> </v>
      </c>
      <c r="G81" s="167"/>
      <c r="H81" s="167"/>
      <c r="I81" s="167"/>
      <c r="J81" s="167"/>
      <c r="K81" s="167"/>
      <c r="L81" s="167"/>
      <c r="M81" s="167"/>
      <c r="N81" s="167"/>
      <c r="O81" s="167"/>
      <c r="P81" s="167"/>
      <c r="Q81" s="167"/>
      <c r="R81" s="167"/>
      <c r="S81" s="167"/>
      <c r="T81" s="167"/>
      <c r="U81" s="167"/>
      <c r="V81" s="167"/>
      <c r="W81" s="167"/>
      <c r="X81" s="167"/>
      <c r="Y81" s="167"/>
      <c r="Z81" s="167"/>
      <c r="AA81" s="167"/>
      <c r="AB81" s="167"/>
      <c r="AC81" s="167"/>
      <c r="AD81" s="167"/>
    </row>
    <row r="82" spans="2:30" x14ac:dyDescent="0.35">
      <c r="B82" s="169"/>
      <c r="C82" s="167"/>
      <c r="D82" s="170"/>
      <c r="E82" s="171" t="str">
        <f t="shared" si="8"/>
        <v xml:space="preserve"> </v>
      </c>
      <c r="F82" s="171" t="str">
        <f t="shared" si="8"/>
        <v xml:space="preserve"> </v>
      </c>
      <c r="G82" s="167"/>
      <c r="H82" s="167"/>
      <c r="I82" s="167"/>
      <c r="J82" s="167"/>
      <c r="K82" s="167"/>
      <c r="L82" s="167"/>
    </row>
    <row r="83" spans="2:30" x14ac:dyDescent="0.35">
      <c r="B83" s="169"/>
      <c r="C83" s="167"/>
      <c r="D83" s="170"/>
      <c r="E83" s="171" t="str">
        <f t="shared" si="8"/>
        <v xml:space="preserve"> </v>
      </c>
      <c r="F83" s="171" t="str">
        <f t="shared" si="8"/>
        <v xml:space="preserve"> </v>
      </c>
      <c r="G83" s="167"/>
      <c r="H83" s="167"/>
      <c r="I83" s="167"/>
      <c r="J83" s="167"/>
      <c r="K83" s="167"/>
      <c r="L83" s="167"/>
    </row>
    <row r="84" spans="2:30" x14ac:dyDescent="0.35">
      <c r="B84" s="169"/>
      <c r="C84" s="167"/>
      <c r="D84" s="170"/>
      <c r="E84" s="171" t="str">
        <f t="shared" si="8"/>
        <v xml:space="preserve"> </v>
      </c>
      <c r="F84" s="171" t="str">
        <f t="shared" si="8"/>
        <v xml:space="preserve"> </v>
      </c>
      <c r="G84" s="167"/>
      <c r="H84" s="167"/>
      <c r="I84" s="167"/>
      <c r="J84" s="167"/>
      <c r="K84" s="167"/>
      <c r="L84" s="167"/>
    </row>
    <row r="85" spans="2:30" x14ac:dyDescent="0.35">
      <c r="B85" s="169"/>
      <c r="C85" s="167"/>
      <c r="D85" s="170"/>
      <c r="E85" s="171" t="str">
        <f t="shared" si="8"/>
        <v xml:space="preserve"> </v>
      </c>
      <c r="F85" s="171" t="str">
        <f t="shared" si="8"/>
        <v xml:space="preserve"> </v>
      </c>
      <c r="G85" s="167"/>
      <c r="H85" s="167"/>
      <c r="I85" s="167"/>
      <c r="J85" s="167"/>
      <c r="K85" s="167"/>
      <c r="L85" s="167"/>
    </row>
    <row r="86" spans="2:30" x14ac:dyDescent="0.35">
      <c r="B86" s="169"/>
      <c r="C86" s="167"/>
      <c r="D86" s="170"/>
      <c r="E86" s="171" t="str">
        <f t="shared" si="8"/>
        <v xml:space="preserve"> </v>
      </c>
      <c r="F86" s="171" t="str">
        <f t="shared" si="8"/>
        <v xml:space="preserve"> </v>
      </c>
      <c r="G86" s="167"/>
      <c r="H86" s="167"/>
      <c r="I86" s="167"/>
      <c r="J86" s="167"/>
      <c r="K86" s="167"/>
      <c r="L86" s="167"/>
    </row>
    <row r="87" spans="2:30" x14ac:dyDescent="0.35">
      <c r="B87" s="169"/>
      <c r="C87" s="167"/>
      <c r="D87" s="170"/>
      <c r="E87" s="171" t="str">
        <f t="shared" ref="E87:F150" si="13">IF((IFERROR(C87/C86-1," "))=-1," ",IFERROR(C87/C86-1," "))</f>
        <v xml:space="preserve"> </v>
      </c>
      <c r="F87" s="171" t="str">
        <f t="shared" si="13"/>
        <v xml:space="preserve"> </v>
      </c>
      <c r="G87" s="167"/>
      <c r="H87" s="167"/>
      <c r="I87" s="167"/>
      <c r="J87" s="167"/>
      <c r="K87" s="167"/>
      <c r="L87" s="167"/>
    </row>
    <row r="88" spans="2:30" x14ac:dyDescent="0.35">
      <c r="B88" s="169"/>
      <c r="C88" s="167"/>
      <c r="D88" s="170"/>
      <c r="E88" s="171" t="str">
        <f t="shared" si="13"/>
        <v xml:space="preserve"> </v>
      </c>
      <c r="F88" s="171" t="str">
        <f t="shared" si="13"/>
        <v xml:space="preserve"> </v>
      </c>
      <c r="G88" s="167"/>
      <c r="H88" s="167"/>
      <c r="I88" s="167"/>
      <c r="J88" s="167"/>
      <c r="K88" s="167"/>
      <c r="L88" s="167"/>
    </row>
    <row r="89" spans="2:30" x14ac:dyDescent="0.35">
      <c r="B89" s="169"/>
      <c r="C89" s="167"/>
      <c r="D89" s="170"/>
      <c r="E89" s="171" t="str">
        <f t="shared" si="13"/>
        <v xml:space="preserve"> </v>
      </c>
      <c r="F89" s="171" t="str">
        <f t="shared" si="13"/>
        <v xml:space="preserve"> </v>
      </c>
      <c r="G89" s="167"/>
      <c r="H89" s="167"/>
      <c r="I89" s="167"/>
      <c r="J89" s="167"/>
      <c r="K89" s="167"/>
      <c r="L89" s="167"/>
    </row>
    <row r="90" spans="2:30" x14ac:dyDescent="0.35">
      <c r="B90" s="169"/>
      <c r="C90" s="167"/>
      <c r="D90" s="170"/>
      <c r="E90" s="171" t="str">
        <f t="shared" si="13"/>
        <v xml:space="preserve"> </v>
      </c>
      <c r="F90" s="171" t="str">
        <f t="shared" si="13"/>
        <v xml:space="preserve"> </v>
      </c>
      <c r="G90" s="167"/>
      <c r="H90" s="167"/>
      <c r="I90" s="167"/>
      <c r="J90" s="167"/>
      <c r="K90" s="167"/>
      <c r="L90" s="167"/>
    </row>
    <row r="91" spans="2:30" x14ac:dyDescent="0.35">
      <c r="B91" s="169"/>
      <c r="C91" s="167"/>
      <c r="D91" s="170"/>
      <c r="E91" s="171" t="str">
        <f t="shared" si="13"/>
        <v xml:space="preserve"> </v>
      </c>
      <c r="F91" s="171" t="str">
        <f t="shared" si="13"/>
        <v xml:space="preserve"> </v>
      </c>
      <c r="G91" s="167"/>
      <c r="H91" s="167"/>
      <c r="I91" s="167"/>
      <c r="J91" s="167"/>
      <c r="K91" s="167"/>
      <c r="L91" s="167"/>
    </row>
    <row r="92" spans="2:30" x14ac:dyDescent="0.35">
      <c r="B92" s="169"/>
      <c r="C92" s="167"/>
      <c r="D92" s="170"/>
      <c r="E92" s="171" t="str">
        <f t="shared" si="13"/>
        <v xml:space="preserve"> </v>
      </c>
      <c r="F92" s="171" t="str">
        <f t="shared" si="13"/>
        <v xml:space="preserve"> </v>
      </c>
      <c r="G92" s="167"/>
      <c r="H92" s="167"/>
      <c r="I92" s="167"/>
      <c r="J92" s="167"/>
      <c r="K92" s="167"/>
      <c r="L92" s="167"/>
    </row>
    <row r="93" spans="2:30" x14ac:dyDescent="0.35">
      <c r="B93" s="169"/>
      <c r="C93" s="167"/>
      <c r="D93" s="170"/>
      <c r="E93" s="171" t="str">
        <f t="shared" si="13"/>
        <v xml:space="preserve"> </v>
      </c>
      <c r="F93" s="171" t="str">
        <f t="shared" si="13"/>
        <v xml:space="preserve"> </v>
      </c>
      <c r="G93" s="167"/>
      <c r="H93" s="167"/>
      <c r="I93" s="167"/>
      <c r="J93" s="167"/>
      <c r="K93" s="167"/>
      <c r="L93" s="167"/>
    </row>
    <row r="94" spans="2:30" x14ac:dyDescent="0.35">
      <c r="B94" s="169"/>
      <c r="C94" s="167"/>
      <c r="D94" s="170"/>
      <c r="E94" s="171" t="str">
        <f t="shared" si="13"/>
        <v xml:space="preserve"> </v>
      </c>
      <c r="F94" s="171" t="str">
        <f t="shared" si="13"/>
        <v xml:space="preserve"> </v>
      </c>
      <c r="G94" s="167"/>
      <c r="H94" s="167"/>
      <c r="I94" s="167"/>
      <c r="J94" s="167"/>
      <c r="K94" s="167"/>
      <c r="L94" s="167"/>
    </row>
    <row r="95" spans="2:30" x14ac:dyDescent="0.35">
      <c r="B95" s="169"/>
      <c r="C95" s="167"/>
      <c r="D95" s="170"/>
      <c r="E95" s="171" t="str">
        <f t="shared" si="13"/>
        <v xml:space="preserve"> </v>
      </c>
      <c r="F95" s="171" t="str">
        <f t="shared" si="13"/>
        <v xml:space="preserve"> </v>
      </c>
      <c r="G95" s="167"/>
      <c r="H95" s="167"/>
      <c r="I95" s="167"/>
      <c r="J95" s="167"/>
      <c r="K95" s="167"/>
      <c r="L95" s="167"/>
    </row>
    <row r="96" spans="2:30" x14ac:dyDescent="0.35">
      <c r="B96" s="169"/>
      <c r="C96" s="167"/>
      <c r="D96" s="170"/>
      <c r="E96" s="171" t="str">
        <f t="shared" si="13"/>
        <v xml:space="preserve"> </v>
      </c>
      <c r="F96" s="171" t="str">
        <f t="shared" si="13"/>
        <v xml:space="preserve"> </v>
      </c>
      <c r="G96" s="167"/>
      <c r="H96" s="167"/>
      <c r="I96" s="167"/>
      <c r="J96" s="167"/>
      <c r="K96" s="167"/>
      <c r="L96" s="167"/>
    </row>
    <row r="97" spans="2:12" x14ac:dyDescent="0.35">
      <c r="B97" s="169"/>
      <c r="C97" s="167"/>
      <c r="D97" s="170"/>
      <c r="E97" s="171" t="str">
        <f t="shared" si="13"/>
        <v xml:space="preserve"> </v>
      </c>
      <c r="F97" s="171" t="str">
        <f t="shared" si="13"/>
        <v xml:space="preserve"> </v>
      </c>
      <c r="G97" s="167"/>
      <c r="H97" s="167"/>
      <c r="I97" s="167"/>
      <c r="J97" s="167"/>
      <c r="K97" s="167"/>
      <c r="L97" s="167"/>
    </row>
    <row r="98" spans="2:12" x14ac:dyDescent="0.35">
      <c r="B98" s="169"/>
      <c r="C98" s="167"/>
      <c r="D98" s="170"/>
      <c r="E98" s="171" t="str">
        <f t="shared" si="13"/>
        <v xml:space="preserve"> </v>
      </c>
      <c r="F98" s="171" t="str">
        <f t="shared" si="13"/>
        <v xml:space="preserve"> </v>
      </c>
      <c r="G98" s="167"/>
      <c r="H98" s="167"/>
      <c r="I98" s="167"/>
      <c r="J98" s="167"/>
      <c r="K98" s="167"/>
      <c r="L98" s="167"/>
    </row>
    <row r="99" spans="2:12" x14ac:dyDescent="0.35">
      <c r="B99" s="169"/>
      <c r="C99" s="167"/>
      <c r="D99" s="170"/>
      <c r="E99" s="171" t="str">
        <f t="shared" si="13"/>
        <v xml:space="preserve"> </v>
      </c>
      <c r="F99" s="171" t="str">
        <f t="shared" si="13"/>
        <v xml:space="preserve"> </v>
      </c>
      <c r="G99" s="167"/>
      <c r="H99" s="167"/>
      <c r="I99" s="167"/>
      <c r="J99" s="167"/>
      <c r="K99" s="167"/>
      <c r="L99" s="167"/>
    </row>
    <row r="100" spans="2:12" x14ac:dyDescent="0.35">
      <c r="B100" s="169"/>
      <c r="C100" s="167"/>
      <c r="D100" s="170"/>
      <c r="E100" s="171" t="str">
        <f t="shared" si="13"/>
        <v xml:space="preserve"> </v>
      </c>
      <c r="F100" s="171" t="str">
        <f t="shared" si="13"/>
        <v xml:space="preserve"> </v>
      </c>
      <c r="G100" s="167"/>
      <c r="H100" s="167"/>
      <c r="I100" s="167"/>
      <c r="J100" s="167"/>
      <c r="K100" s="167"/>
      <c r="L100" s="167"/>
    </row>
    <row r="101" spans="2:12" x14ac:dyDescent="0.35">
      <c r="B101" s="169"/>
      <c r="C101" s="167"/>
      <c r="D101" s="170"/>
      <c r="E101" s="171" t="str">
        <f t="shared" si="13"/>
        <v xml:space="preserve"> </v>
      </c>
      <c r="F101" s="171" t="str">
        <f t="shared" si="13"/>
        <v xml:space="preserve"> </v>
      </c>
      <c r="G101" s="167"/>
      <c r="H101" s="167"/>
      <c r="I101" s="167"/>
      <c r="J101" s="167"/>
      <c r="K101" s="167"/>
      <c r="L101" s="167"/>
    </row>
    <row r="102" spans="2:12" x14ac:dyDescent="0.35">
      <c r="B102" s="169"/>
      <c r="C102" s="167"/>
      <c r="D102" s="170"/>
      <c r="E102" s="171" t="str">
        <f t="shared" si="13"/>
        <v xml:space="preserve"> </v>
      </c>
      <c r="F102" s="171" t="str">
        <f t="shared" si="13"/>
        <v xml:space="preserve"> </v>
      </c>
      <c r="G102" s="167"/>
      <c r="H102" s="167"/>
      <c r="I102" s="167"/>
      <c r="J102" s="167"/>
      <c r="K102" s="167"/>
      <c r="L102" s="167"/>
    </row>
    <row r="103" spans="2:12" x14ac:dyDescent="0.35">
      <c r="B103" s="169"/>
      <c r="C103" s="167"/>
      <c r="D103" s="170"/>
      <c r="E103" s="171" t="str">
        <f t="shared" si="13"/>
        <v xml:space="preserve"> </v>
      </c>
      <c r="F103" s="171" t="str">
        <f t="shared" si="13"/>
        <v xml:space="preserve"> </v>
      </c>
      <c r="G103" s="167"/>
      <c r="H103" s="167"/>
      <c r="I103" s="167"/>
      <c r="J103" s="167"/>
      <c r="K103" s="167"/>
      <c r="L103" s="167"/>
    </row>
    <row r="104" spans="2:12" x14ac:dyDescent="0.35">
      <c r="B104" s="169"/>
      <c r="C104" s="167"/>
      <c r="D104" s="170"/>
      <c r="E104" s="171" t="str">
        <f t="shared" si="13"/>
        <v xml:space="preserve"> </v>
      </c>
      <c r="F104" s="171" t="str">
        <f t="shared" si="13"/>
        <v xml:space="preserve"> </v>
      </c>
      <c r="G104" s="167"/>
      <c r="H104" s="167"/>
      <c r="I104" s="167"/>
      <c r="J104" s="167"/>
      <c r="K104" s="167"/>
      <c r="L104" s="167"/>
    </row>
    <row r="105" spans="2:12" x14ac:dyDescent="0.35">
      <c r="B105" s="169"/>
      <c r="C105" s="167"/>
      <c r="D105" s="170"/>
      <c r="E105" s="171" t="str">
        <f t="shared" si="13"/>
        <v xml:space="preserve"> </v>
      </c>
      <c r="F105" s="171" t="str">
        <f t="shared" si="13"/>
        <v xml:space="preserve"> </v>
      </c>
      <c r="G105" s="167"/>
      <c r="H105" s="167"/>
      <c r="I105" s="167"/>
      <c r="J105" s="167"/>
      <c r="K105" s="167"/>
      <c r="L105" s="167"/>
    </row>
    <row r="106" spans="2:12" x14ac:dyDescent="0.35">
      <c r="B106" s="169"/>
      <c r="C106" s="167"/>
      <c r="D106" s="170"/>
      <c r="E106" s="171" t="str">
        <f t="shared" si="13"/>
        <v xml:space="preserve"> </v>
      </c>
      <c r="F106" s="171" t="str">
        <f t="shared" si="13"/>
        <v xml:space="preserve"> </v>
      </c>
      <c r="G106" s="167"/>
      <c r="H106" s="167"/>
      <c r="I106" s="167"/>
      <c r="J106" s="167"/>
      <c r="K106" s="167"/>
      <c r="L106" s="167"/>
    </row>
    <row r="107" spans="2:12" x14ac:dyDescent="0.35">
      <c r="B107" s="169"/>
      <c r="C107" s="167"/>
      <c r="D107" s="170"/>
      <c r="E107" s="171" t="str">
        <f t="shared" si="13"/>
        <v xml:space="preserve"> </v>
      </c>
      <c r="F107" s="171" t="str">
        <f t="shared" si="13"/>
        <v xml:space="preserve"> </v>
      </c>
      <c r="G107" s="167"/>
      <c r="H107" s="167"/>
      <c r="I107" s="167"/>
      <c r="J107" s="167"/>
      <c r="K107" s="167"/>
      <c r="L107" s="167"/>
    </row>
    <row r="108" spans="2:12" x14ac:dyDescent="0.35">
      <c r="B108" s="169"/>
      <c r="C108" s="167"/>
      <c r="D108" s="170"/>
      <c r="E108" s="171" t="str">
        <f t="shared" si="13"/>
        <v xml:space="preserve"> </v>
      </c>
      <c r="F108" s="171" t="str">
        <f t="shared" si="13"/>
        <v xml:space="preserve"> </v>
      </c>
      <c r="G108" s="167"/>
      <c r="H108" s="167"/>
      <c r="I108" s="167"/>
      <c r="J108" s="167"/>
      <c r="K108" s="167"/>
      <c r="L108" s="167"/>
    </row>
    <row r="109" spans="2:12" x14ac:dyDescent="0.35">
      <c r="B109" s="169"/>
      <c r="C109" s="167"/>
      <c r="D109" s="170"/>
      <c r="E109" s="171" t="str">
        <f t="shared" si="13"/>
        <v xml:space="preserve"> </v>
      </c>
      <c r="F109" s="171" t="str">
        <f t="shared" si="13"/>
        <v xml:space="preserve"> </v>
      </c>
      <c r="G109" s="167"/>
      <c r="H109" s="167"/>
      <c r="I109" s="167"/>
      <c r="J109" s="167"/>
      <c r="K109" s="167"/>
      <c r="L109" s="167"/>
    </row>
    <row r="110" spans="2:12" x14ac:dyDescent="0.35">
      <c r="B110" s="169"/>
      <c r="C110" s="167"/>
      <c r="D110" s="170"/>
      <c r="E110" s="171" t="str">
        <f t="shared" si="13"/>
        <v xml:space="preserve"> </v>
      </c>
      <c r="F110" s="171" t="str">
        <f t="shared" si="13"/>
        <v xml:space="preserve"> </v>
      </c>
      <c r="G110" s="167"/>
      <c r="H110" s="167"/>
      <c r="I110" s="167"/>
      <c r="J110" s="167"/>
      <c r="K110" s="167"/>
      <c r="L110" s="167"/>
    </row>
    <row r="111" spans="2:12" x14ac:dyDescent="0.35">
      <c r="B111" s="169"/>
      <c r="C111" s="167"/>
      <c r="D111" s="170"/>
      <c r="E111" s="171" t="str">
        <f t="shared" si="13"/>
        <v xml:space="preserve"> </v>
      </c>
      <c r="F111" s="171" t="str">
        <f t="shared" si="13"/>
        <v xml:space="preserve"> </v>
      </c>
      <c r="G111" s="167"/>
      <c r="H111" s="167"/>
      <c r="I111" s="167"/>
      <c r="J111" s="167"/>
      <c r="K111" s="167"/>
      <c r="L111" s="167"/>
    </row>
    <row r="112" spans="2:12" x14ac:dyDescent="0.35">
      <c r="B112" s="169"/>
      <c r="C112" s="167"/>
      <c r="D112" s="170"/>
      <c r="E112" s="171" t="str">
        <f t="shared" si="13"/>
        <v xml:space="preserve"> </v>
      </c>
      <c r="F112" s="171" t="str">
        <f t="shared" si="13"/>
        <v xml:space="preserve"> </v>
      </c>
      <c r="G112" s="167"/>
      <c r="H112" s="167"/>
      <c r="I112" s="167"/>
      <c r="J112" s="167"/>
      <c r="K112" s="167"/>
      <c r="L112" s="167"/>
    </row>
    <row r="113" spans="2:12" x14ac:dyDescent="0.35">
      <c r="B113" s="169"/>
      <c r="C113" s="167"/>
      <c r="D113" s="170"/>
      <c r="E113" s="171" t="str">
        <f t="shared" si="13"/>
        <v xml:space="preserve"> </v>
      </c>
      <c r="F113" s="171" t="str">
        <f t="shared" si="13"/>
        <v xml:space="preserve"> </v>
      </c>
      <c r="G113" s="167"/>
      <c r="H113" s="167"/>
      <c r="I113" s="167"/>
      <c r="J113" s="167"/>
      <c r="K113" s="167"/>
      <c r="L113" s="167"/>
    </row>
    <row r="114" spans="2:12" x14ac:dyDescent="0.35">
      <c r="B114" s="169"/>
      <c r="C114" s="167"/>
      <c r="D114" s="170"/>
      <c r="E114" s="171" t="str">
        <f t="shared" si="13"/>
        <v xml:space="preserve"> </v>
      </c>
      <c r="F114" s="171" t="str">
        <f t="shared" si="13"/>
        <v xml:space="preserve"> </v>
      </c>
      <c r="G114" s="167"/>
      <c r="H114" s="167"/>
      <c r="I114" s="167"/>
      <c r="J114" s="167"/>
      <c r="K114" s="167"/>
      <c r="L114" s="167"/>
    </row>
    <row r="115" spans="2:12" x14ac:dyDescent="0.35">
      <c r="B115" s="169"/>
      <c r="C115" s="167"/>
      <c r="D115" s="170"/>
      <c r="E115" s="171" t="str">
        <f t="shared" si="13"/>
        <v xml:space="preserve"> </v>
      </c>
      <c r="F115" s="171" t="str">
        <f t="shared" si="13"/>
        <v xml:space="preserve"> </v>
      </c>
      <c r="G115" s="167"/>
      <c r="H115" s="167"/>
      <c r="I115" s="167"/>
      <c r="J115" s="167"/>
      <c r="K115" s="167"/>
      <c r="L115" s="167"/>
    </row>
    <row r="116" spans="2:12" x14ac:dyDescent="0.35">
      <c r="B116" s="169"/>
      <c r="C116" s="167"/>
      <c r="D116" s="170"/>
      <c r="E116" s="171" t="str">
        <f t="shared" si="13"/>
        <v xml:space="preserve"> </v>
      </c>
      <c r="F116" s="171" t="str">
        <f t="shared" si="13"/>
        <v xml:space="preserve"> </v>
      </c>
      <c r="G116" s="167"/>
      <c r="H116" s="167"/>
      <c r="I116" s="167"/>
      <c r="J116" s="167"/>
      <c r="K116" s="167"/>
      <c r="L116" s="167"/>
    </row>
    <row r="117" spans="2:12" x14ac:dyDescent="0.35">
      <c r="B117" s="169"/>
      <c r="C117" s="167"/>
      <c r="D117" s="170"/>
      <c r="E117" s="171" t="str">
        <f t="shared" si="13"/>
        <v xml:space="preserve"> </v>
      </c>
      <c r="F117" s="171" t="str">
        <f t="shared" si="13"/>
        <v xml:space="preserve"> </v>
      </c>
      <c r="G117" s="167"/>
      <c r="H117" s="167"/>
      <c r="I117" s="167"/>
      <c r="J117" s="167"/>
      <c r="K117" s="167"/>
      <c r="L117" s="167"/>
    </row>
    <row r="118" spans="2:12" x14ac:dyDescent="0.35">
      <c r="B118" s="169"/>
      <c r="C118" s="167"/>
      <c r="D118" s="170"/>
      <c r="E118" s="171" t="str">
        <f t="shared" si="13"/>
        <v xml:space="preserve"> </v>
      </c>
      <c r="F118" s="171" t="str">
        <f t="shared" si="13"/>
        <v xml:space="preserve"> </v>
      </c>
      <c r="G118" s="167"/>
      <c r="H118" s="167"/>
      <c r="I118" s="167"/>
      <c r="J118" s="167"/>
      <c r="K118" s="167"/>
      <c r="L118" s="167"/>
    </row>
    <row r="119" spans="2:12" x14ac:dyDescent="0.35">
      <c r="B119" s="169"/>
      <c r="C119" s="167"/>
      <c r="D119" s="170"/>
      <c r="E119" s="171" t="str">
        <f t="shared" si="13"/>
        <v xml:space="preserve"> </v>
      </c>
      <c r="F119" s="171" t="str">
        <f t="shared" si="13"/>
        <v xml:space="preserve"> </v>
      </c>
      <c r="G119" s="167"/>
      <c r="H119" s="167"/>
      <c r="I119" s="167"/>
      <c r="J119" s="167"/>
      <c r="K119" s="167"/>
      <c r="L119" s="167"/>
    </row>
    <row r="120" spans="2:12" x14ac:dyDescent="0.35">
      <c r="B120" s="169"/>
      <c r="C120" s="167"/>
      <c r="D120" s="170"/>
      <c r="E120" s="171" t="str">
        <f t="shared" si="13"/>
        <v xml:space="preserve"> </v>
      </c>
      <c r="F120" s="171" t="str">
        <f t="shared" si="13"/>
        <v xml:space="preserve"> </v>
      </c>
      <c r="G120" s="167"/>
      <c r="H120" s="167"/>
      <c r="I120" s="167"/>
      <c r="J120" s="167"/>
      <c r="K120" s="167"/>
      <c r="L120" s="167"/>
    </row>
    <row r="121" spans="2:12" x14ac:dyDescent="0.35">
      <c r="B121" s="169"/>
      <c r="C121" s="167"/>
      <c r="D121" s="170"/>
      <c r="E121" s="171" t="str">
        <f t="shared" si="13"/>
        <v xml:space="preserve"> </v>
      </c>
      <c r="F121" s="171" t="str">
        <f t="shared" si="13"/>
        <v xml:space="preserve"> </v>
      </c>
      <c r="G121" s="167"/>
      <c r="H121" s="167"/>
      <c r="I121" s="167"/>
      <c r="J121" s="167"/>
      <c r="K121" s="167"/>
      <c r="L121" s="167"/>
    </row>
    <row r="122" spans="2:12" x14ac:dyDescent="0.35">
      <c r="B122" s="169"/>
      <c r="C122" s="167"/>
      <c r="D122" s="170"/>
      <c r="E122" s="171" t="str">
        <f t="shared" si="13"/>
        <v xml:space="preserve"> </v>
      </c>
      <c r="F122" s="171" t="str">
        <f t="shared" si="13"/>
        <v xml:space="preserve"> </v>
      </c>
      <c r="G122" s="167"/>
      <c r="H122" s="167"/>
      <c r="I122" s="167"/>
      <c r="J122" s="167"/>
      <c r="K122" s="167"/>
      <c r="L122" s="167"/>
    </row>
    <row r="123" spans="2:12" x14ac:dyDescent="0.35">
      <c r="B123" s="169"/>
      <c r="C123" s="167"/>
      <c r="D123" s="170"/>
      <c r="E123" s="171" t="str">
        <f t="shared" si="13"/>
        <v xml:space="preserve"> </v>
      </c>
      <c r="F123" s="171" t="str">
        <f t="shared" si="13"/>
        <v xml:space="preserve"> </v>
      </c>
      <c r="G123" s="167"/>
      <c r="H123" s="167"/>
      <c r="I123" s="167"/>
      <c r="J123" s="167"/>
      <c r="K123" s="167"/>
      <c r="L123" s="167"/>
    </row>
    <row r="124" spans="2:12" x14ac:dyDescent="0.35">
      <c r="B124" s="169"/>
      <c r="C124" s="167"/>
      <c r="D124" s="170"/>
      <c r="E124" s="171" t="str">
        <f t="shared" si="13"/>
        <v xml:space="preserve"> </v>
      </c>
      <c r="F124" s="171" t="str">
        <f t="shared" si="13"/>
        <v xml:space="preserve"> </v>
      </c>
      <c r="G124" s="167"/>
      <c r="H124" s="167"/>
      <c r="I124" s="167"/>
      <c r="J124" s="167"/>
      <c r="K124" s="167"/>
      <c r="L124" s="167"/>
    </row>
    <row r="125" spans="2:12" x14ac:dyDescent="0.35">
      <c r="B125" s="169"/>
      <c r="C125" s="167"/>
      <c r="D125" s="170"/>
      <c r="E125" s="171" t="str">
        <f t="shared" si="13"/>
        <v xml:space="preserve"> </v>
      </c>
      <c r="F125" s="171" t="str">
        <f t="shared" si="13"/>
        <v xml:space="preserve"> </v>
      </c>
      <c r="G125" s="167"/>
      <c r="H125" s="167"/>
      <c r="I125" s="167"/>
      <c r="J125" s="167"/>
      <c r="K125" s="167"/>
      <c r="L125" s="167"/>
    </row>
    <row r="126" spans="2:12" x14ac:dyDescent="0.35">
      <c r="B126" s="169"/>
      <c r="C126" s="167"/>
      <c r="D126" s="170"/>
      <c r="E126" s="171" t="str">
        <f t="shared" si="13"/>
        <v xml:space="preserve"> </v>
      </c>
      <c r="F126" s="171" t="str">
        <f t="shared" si="13"/>
        <v xml:space="preserve"> </v>
      </c>
      <c r="G126" s="167"/>
      <c r="H126" s="167"/>
      <c r="I126" s="167"/>
      <c r="J126" s="167"/>
      <c r="K126" s="167"/>
      <c r="L126" s="167"/>
    </row>
    <row r="127" spans="2:12" x14ac:dyDescent="0.35">
      <c r="B127" s="169"/>
      <c r="C127" s="167"/>
      <c r="D127" s="170"/>
      <c r="E127" s="171" t="str">
        <f t="shared" si="13"/>
        <v xml:space="preserve"> </v>
      </c>
      <c r="F127" s="171" t="str">
        <f t="shared" si="13"/>
        <v xml:space="preserve"> </v>
      </c>
      <c r="G127" s="167"/>
      <c r="H127" s="167"/>
      <c r="I127" s="167"/>
      <c r="J127" s="167"/>
      <c r="K127" s="167"/>
      <c r="L127" s="167"/>
    </row>
    <row r="128" spans="2:12" x14ac:dyDescent="0.35">
      <c r="B128" s="169"/>
      <c r="C128" s="167"/>
      <c r="D128" s="170"/>
      <c r="E128" s="171" t="str">
        <f t="shared" si="13"/>
        <v xml:space="preserve"> </v>
      </c>
      <c r="F128" s="171" t="str">
        <f t="shared" si="13"/>
        <v xml:space="preserve"> </v>
      </c>
      <c r="G128" s="167"/>
      <c r="H128" s="167"/>
      <c r="I128" s="167"/>
      <c r="J128" s="167"/>
      <c r="K128" s="167"/>
      <c r="L128" s="167"/>
    </row>
    <row r="129" spans="2:12" x14ac:dyDescent="0.35">
      <c r="B129" s="169"/>
      <c r="C129" s="167"/>
      <c r="D129" s="170"/>
      <c r="E129" s="171" t="str">
        <f t="shared" si="13"/>
        <v xml:space="preserve"> </v>
      </c>
      <c r="F129" s="171" t="str">
        <f t="shared" si="13"/>
        <v xml:space="preserve"> </v>
      </c>
      <c r="G129" s="167"/>
      <c r="H129" s="167"/>
      <c r="I129" s="167"/>
      <c r="J129" s="167"/>
      <c r="K129" s="167"/>
      <c r="L129" s="167"/>
    </row>
    <row r="130" spans="2:12" x14ac:dyDescent="0.35">
      <c r="B130" s="169"/>
      <c r="C130" s="167"/>
      <c r="D130" s="170"/>
      <c r="E130" s="171" t="str">
        <f t="shared" si="13"/>
        <v xml:space="preserve"> </v>
      </c>
      <c r="F130" s="171" t="str">
        <f t="shared" si="13"/>
        <v xml:space="preserve"> </v>
      </c>
      <c r="G130" s="167"/>
      <c r="H130" s="167"/>
      <c r="I130" s="167"/>
      <c r="J130" s="167"/>
      <c r="K130" s="167"/>
      <c r="L130" s="167"/>
    </row>
    <row r="131" spans="2:12" x14ac:dyDescent="0.35">
      <c r="B131" s="169"/>
      <c r="C131" s="167"/>
      <c r="D131" s="170"/>
      <c r="E131" s="171" t="str">
        <f t="shared" si="13"/>
        <v xml:space="preserve"> </v>
      </c>
      <c r="F131" s="171" t="str">
        <f t="shared" si="13"/>
        <v xml:space="preserve"> </v>
      </c>
      <c r="G131" s="167"/>
      <c r="H131" s="167"/>
      <c r="I131" s="167"/>
      <c r="J131" s="167"/>
      <c r="K131" s="167"/>
      <c r="L131" s="167"/>
    </row>
    <row r="132" spans="2:12" x14ac:dyDescent="0.35">
      <c r="B132" s="169"/>
      <c r="C132" s="167"/>
      <c r="D132" s="170"/>
      <c r="E132" s="171" t="str">
        <f t="shared" si="13"/>
        <v xml:space="preserve"> </v>
      </c>
      <c r="F132" s="171" t="str">
        <f t="shared" si="13"/>
        <v xml:space="preserve"> </v>
      </c>
      <c r="G132" s="167"/>
      <c r="H132" s="167"/>
      <c r="I132" s="167"/>
      <c r="J132" s="167"/>
      <c r="K132" s="167"/>
      <c r="L132" s="167"/>
    </row>
    <row r="133" spans="2:12" x14ac:dyDescent="0.35">
      <c r="B133" s="169"/>
      <c r="C133" s="167"/>
      <c r="D133" s="170"/>
      <c r="E133" s="171" t="str">
        <f t="shared" si="13"/>
        <v xml:space="preserve"> </v>
      </c>
      <c r="F133" s="171" t="str">
        <f t="shared" si="13"/>
        <v xml:space="preserve"> </v>
      </c>
      <c r="G133" s="167"/>
      <c r="H133" s="167"/>
      <c r="I133" s="167"/>
      <c r="J133" s="167"/>
      <c r="K133" s="167"/>
      <c r="L133" s="167"/>
    </row>
    <row r="134" spans="2:12" x14ac:dyDescent="0.35">
      <c r="B134" s="169"/>
      <c r="C134" s="167"/>
      <c r="D134" s="170"/>
      <c r="E134" s="171" t="str">
        <f t="shared" si="13"/>
        <v xml:space="preserve"> </v>
      </c>
      <c r="F134" s="171" t="str">
        <f t="shared" si="13"/>
        <v xml:space="preserve"> </v>
      </c>
      <c r="G134" s="167"/>
      <c r="H134" s="167"/>
      <c r="I134" s="167"/>
      <c r="J134" s="167"/>
      <c r="K134" s="167"/>
      <c r="L134" s="167"/>
    </row>
    <row r="135" spans="2:12" x14ac:dyDescent="0.35">
      <c r="B135" s="169"/>
      <c r="C135" s="167"/>
      <c r="D135" s="170"/>
      <c r="E135" s="171" t="str">
        <f t="shared" si="13"/>
        <v xml:space="preserve"> </v>
      </c>
      <c r="F135" s="171" t="str">
        <f t="shared" si="13"/>
        <v xml:space="preserve"> </v>
      </c>
      <c r="G135" s="167"/>
      <c r="H135" s="167"/>
      <c r="I135" s="167"/>
      <c r="J135" s="167"/>
      <c r="K135" s="167"/>
      <c r="L135" s="167"/>
    </row>
    <row r="136" spans="2:12" x14ac:dyDescent="0.35">
      <c r="B136" s="169"/>
      <c r="C136" s="167"/>
      <c r="D136" s="170"/>
      <c r="E136" s="171" t="str">
        <f t="shared" si="13"/>
        <v xml:space="preserve"> </v>
      </c>
      <c r="F136" s="171" t="str">
        <f t="shared" si="13"/>
        <v xml:space="preserve"> </v>
      </c>
      <c r="G136" s="167"/>
      <c r="H136" s="167"/>
      <c r="I136" s="167"/>
      <c r="J136" s="167"/>
      <c r="K136" s="167"/>
      <c r="L136" s="167"/>
    </row>
    <row r="137" spans="2:12" x14ac:dyDescent="0.35">
      <c r="B137" s="169"/>
      <c r="C137" s="167"/>
      <c r="D137" s="170"/>
      <c r="E137" s="171" t="str">
        <f t="shared" si="13"/>
        <v xml:space="preserve"> </v>
      </c>
      <c r="F137" s="171" t="str">
        <f t="shared" si="13"/>
        <v xml:space="preserve"> </v>
      </c>
      <c r="G137" s="167"/>
      <c r="H137" s="167"/>
      <c r="I137" s="167"/>
      <c r="J137" s="167"/>
      <c r="K137" s="167"/>
      <c r="L137" s="167"/>
    </row>
    <row r="138" spans="2:12" x14ac:dyDescent="0.35">
      <c r="B138" s="115"/>
      <c r="D138" s="119"/>
      <c r="E138" s="96" t="str">
        <f t="shared" si="13"/>
        <v xml:space="preserve"> </v>
      </c>
      <c r="F138" s="96" t="str">
        <f t="shared" si="13"/>
        <v xml:space="preserve"> </v>
      </c>
    </row>
    <row r="139" spans="2:12" x14ac:dyDescent="0.35">
      <c r="B139" s="115"/>
      <c r="D139" s="119"/>
      <c r="E139" s="96" t="str">
        <f t="shared" si="13"/>
        <v xml:space="preserve"> </v>
      </c>
      <c r="F139" s="96" t="str">
        <f t="shared" si="13"/>
        <v xml:space="preserve"> </v>
      </c>
    </row>
    <row r="140" spans="2:12" x14ac:dyDescent="0.35">
      <c r="B140" s="115"/>
      <c r="D140" s="119"/>
      <c r="E140" s="96" t="str">
        <f t="shared" si="13"/>
        <v xml:space="preserve"> </v>
      </c>
      <c r="F140" s="96" t="str">
        <f t="shared" si="13"/>
        <v xml:space="preserve"> </v>
      </c>
    </row>
    <row r="141" spans="2:12" x14ac:dyDescent="0.35">
      <c r="B141" s="115"/>
      <c r="D141" s="119"/>
      <c r="E141" s="96" t="str">
        <f t="shared" si="13"/>
        <v xml:space="preserve"> </v>
      </c>
      <c r="F141" s="96" t="str">
        <f t="shared" si="13"/>
        <v xml:space="preserve"> </v>
      </c>
    </row>
    <row r="142" spans="2:12" x14ac:dyDescent="0.35">
      <c r="B142" s="115"/>
      <c r="D142" s="119"/>
      <c r="E142" s="96" t="str">
        <f t="shared" si="13"/>
        <v xml:space="preserve"> </v>
      </c>
      <c r="F142" s="96" t="str">
        <f t="shared" si="13"/>
        <v xml:space="preserve"> </v>
      </c>
    </row>
    <row r="143" spans="2:12" x14ac:dyDescent="0.35">
      <c r="B143" s="115"/>
      <c r="D143" s="119"/>
      <c r="E143" s="96" t="str">
        <f t="shared" si="13"/>
        <v xml:space="preserve"> </v>
      </c>
      <c r="F143" s="96" t="str">
        <f t="shared" si="13"/>
        <v xml:space="preserve"> </v>
      </c>
    </row>
    <row r="144" spans="2:12" x14ac:dyDescent="0.35">
      <c r="B144" s="115"/>
      <c r="D144" s="119"/>
      <c r="E144" s="96" t="str">
        <f t="shared" si="13"/>
        <v xml:space="preserve"> </v>
      </c>
      <c r="F144" s="96" t="str">
        <f t="shared" si="13"/>
        <v xml:space="preserve"> </v>
      </c>
    </row>
    <row r="145" spans="2:6" x14ac:dyDescent="0.35">
      <c r="B145" s="115"/>
      <c r="D145" s="119"/>
      <c r="E145" s="96" t="str">
        <f t="shared" si="13"/>
        <v xml:space="preserve"> </v>
      </c>
      <c r="F145" s="96" t="str">
        <f t="shared" si="13"/>
        <v xml:space="preserve"> </v>
      </c>
    </row>
    <row r="146" spans="2:6" x14ac:dyDescent="0.35">
      <c r="B146" s="115"/>
      <c r="D146" s="119"/>
      <c r="E146" s="96" t="str">
        <f t="shared" si="13"/>
        <v xml:space="preserve"> </v>
      </c>
      <c r="F146" s="96" t="str">
        <f t="shared" si="13"/>
        <v xml:space="preserve"> </v>
      </c>
    </row>
    <row r="147" spans="2:6" x14ac:dyDescent="0.35">
      <c r="B147" s="115"/>
      <c r="D147" s="119"/>
      <c r="E147" s="96" t="str">
        <f t="shared" si="13"/>
        <v xml:space="preserve"> </v>
      </c>
      <c r="F147" s="96" t="str">
        <f t="shared" si="13"/>
        <v xml:space="preserve"> </v>
      </c>
    </row>
    <row r="148" spans="2:6" x14ac:dyDescent="0.35">
      <c r="B148" s="115"/>
      <c r="D148" s="119"/>
      <c r="E148" s="96" t="str">
        <f t="shared" si="13"/>
        <v xml:space="preserve"> </v>
      </c>
      <c r="F148" s="96" t="str">
        <f t="shared" si="13"/>
        <v xml:space="preserve"> </v>
      </c>
    </row>
    <row r="149" spans="2:6" x14ac:dyDescent="0.35">
      <c r="B149" s="115"/>
      <c r="D149" s="119"/>
      <c r="E149" s="96" t="str">
        <f t="shared" si="13"/>
        <v xml:space="preserve"> </v>
      </c>
      <c r="F149" s="96" t="str">
        <f t="shared" si="13"/>
        <v xml:space="preserve"> </v>
      </c>
    </row>
    <row r="150" spans="2:6" x14ac:dyDescent="0.35">
      <c r="B150" s="115"/>
      <c r="D150" s="119"/>
      <c r="E150" s="96" t="str">
        <f t="shared" si="13"/>
        <v xml:space="preserve"> </v>
      </c>
      <c r="F150" s="96" t="str">
        <f t="shared" si="13"/>
        <v xml:space="preserve"> </v>
      </c>
    </row>
    <row r="151" spans="2:6" x14ac:dyDescent="0.35">
      <c r="B151" s="115"/>
      <c r="D151" s="119"/>
      <c r="E151" s="96" t="str">
        <f t="shared" ref="E151:F214" si="14">IF((IFERROR(C151/C150-1," "))=-1," ",IFERROR(C151/C150-1," "))</f>
        <v xml:space="preserve"> </v>
      </c>
      <c r="F151" s="96" t="str">
        <f t="shared" si="14"/>
        <v xml:space="preserve"> </v>
      </c>
    </row>
    <row r="152" spans="2:6" x14ac:dyDescent="0.35">
      <c r="B152" s="115"/>
      <c r="D152" s="119"/>
      <c r="E152" s="96" t="str">
        <f t="shared" si="14"/>
        <v xml:space="preserve"> </v>
      </c>
      <c r="F152" s="96" t="str">
        <f t="shared" si="14"/>
        <v xml:space="preserve"> </v>
      </c>
    </row>
    <row r="153" spans="2:6" x14ac:dyDescent="0.35">
      <c r="B153" s="115"/>
      <c r="D153" s="119"/>
      <c r="E153" s="96" t="str">
        <f t="shared" si="14"/>
        <v xml:space="preserve"> </v>
      </c>
      <c r="F153" s="96" t="str">
        <f t="shared" si="14"/>
        <v xml:space="preserve"> </v>
      </c>
    </row>
    <row r="154" spans="2:6" x14ac:dyDescent="0.35">
      <c r="B154" s="115"/>
      <c r="D154" s="119"/>
      <c r="E154" s="96" t="str">
        <f t="shared" si="14"/>
        <v xml:space="preserve"> </v>
      </c>
      <c r="F154" s="96" t="str">
        <f t="shared" si="14"/>
        <v xml:space="preserve"> </v>
      </c>
    </row>
    <row r="155" spans="2:6" x14ac:dyDescent="0.35">
      <c r="B155" s="115"/>
      <c r="D155" s="119"/>
      <c r="E155" s="96" t="str">
        <f t="shared" si="14"/>
        <v xml:space="preserve"> </v>
      </c>
      <c r="F155" s="96" t="str">
        <f t="shared" si="14"/>
        <v xml:space="preserve"> </v>
      </c>
    </row>
    <row r="156" spans="2:6" x14ac:dyDescent="0.35">
      <c r="B156" s="115"/>
      <c r="D156" s="119"/>
      <c r="E156" s="96" t="str">
        <f t="shared" si="14"/>
        <v xml:space="preserve"> </v>
      </c>
      <c r="F156" s="96" t="str">
        <f t="shared" si="14"/>
        <v xml:space="preserve"> </v>
      </c>
    </row>
    <row r="157" spans="2:6" x14ac:dyDescent="0.35">
      <c r="B157" s="115"/>
      <c r="D157" s="119"/>
      <c r="E157" s="96" t="str">
        <f t="shared" si="14"/>
        <v xml:space="preserve"> </v>
      </c>
      <c r="F157" s="96" t="str">
        <f t="shared" si="14"/>
        <v xml:space="preserve"> </v>
      </c>
    </row>
    <row r="158" spans="2:6" x14ac:dyDescent="0.35">
      <c r="B158" s="115"/>
      <c r="D158" s="119"/>
      <c r="E158" s="96" t="str">
        <f t="shared" si="14"/>
        <v xml:space="preserve"> </v>
      </c>
      <c r="F158" s="96" t="str">
        <f t="shared" si="14"/>
        <v xml:space="preserve"> </v>
      </c>
    </row>
    <row r="159" spans="2:6" x14ac:dyDescent="0.35">
      <c r="B159" s="115"/>
      <c r="D159" s="119"/>
      <c r="E159" s="96" t="str">
        <f t="shared" si="14"/>
        <v xml:space="preserve"> </v>
      </c>
      <c r="F159" s="96" t="str">
        <f t="shared" si="14"/>
        <v xml:space="preserve"> </v>
      </c>
    </row>
    <row r="160" spans="2:6" x14ac:dyDescent="0.35">
      <c r="B160" s="115"/>
      <c r="D160" s="119"/>
      <c r="E160" s="96" t="str">
        <f t="shared" si="14"/>
        <v xml:space="preserve"> </v>
      </c>
      <c r="F160" s="96" t="str">
        <f t="shared" si="14"/>
        <v xml:space="preserve"> </v>
      </c>
    </row>
    <row r="161" spans="2:6" x14ac:dyDescent="0.35">
      <c r="B161" s="115"/>
      <c r="D161" s="119"/>
      <c r="E161" s="96" t="str">
        <f t="shared" si="14"/>
        <v xml:space="preserve"> </v>
      </c>
      <c r="F161" s="96" t="str">
        <f t="shared" si="14"/>
        <v xml:space="preserve"> </v>
      </c>
    </row>
    <row r="162" spans="2:6" x14ac:dyDescent="0.35">
      <c r="B162" s="115"/>
      <c r="D162" s="119"/>
      <c r="E162" s="96" t="str">
        <f t="shared" si="14"/>
        <v xml:space="preserve"> </v>
      </c>
      <c r="F162" s="96" t="str">
        <f t="shared" si="14"/>
        <v xml:space="preserve"> </v>
      </c>
    </row>
    <row r="163" spans="2:6" x14ac:dyDescent="0.35">
      <c r="B163" s="115"/>
      <c r="D163" s="119"/>
      <c r="E163" s="96" t="str">
        <f t="shared" si="14"/>
        <v xml:space="preserve"> </v>
      </c>
      <c r="F163" s="96" t="str">
        <f t="shared" si="14"/>
        <v xml:space="preserve"> </v>
      </c>
    </row>
    <row r="164" spans="2:6" x14ac:dyDescent="0.35">
      <c r="B164" s="115"/>
      <c r="D164" s="119"/>
      <c r="E164" s="96" t="str">
        <f t="shared" si="14"/>
        <v xml:space="preserve"> </v>
      </c>
      <c r="F164" s="96" t="str">
        <f t="shared" si="14"/>
        <v xml:space="preserve"> </v>
      </c>
    </row>
    <row r="165" spans="2:6" x14ac:dyDescent="0.35">
      <c r="B165" s="115"/>
      <c r="D165" s="119"/>
      <c r="E165" s="96" t="str">
        <f t="shared" si="14"/>
        <v xml:space="preserve"> </v>
      </c>
      <c r="F165" s="96" t="str">
        <f t="shared" si="14"/>
        <v xml:space="preserve"> </v>
      </c>
    </row>
    <row r="166" spans="2:6" x14ac:dyDescent="0.35">
      <c r="B166" s="115"/>
      <c r="D166" s="119"/>
      <c r="E166" s="96" t="str">
        <f t="shared" si="14"/>
        <v xml:space="preserve"> </v>
      </c>
      <c r="F166" s="96" t="str">
        <f t="shared" si="14"/>
        <v xml:space="preserve"> </v>
      </c>
    </row>
    <row r="167" spans="2:6" x14ac:dyDescent="0.35">
      <c r="B167" s="115"/>
      <c r="D167" s="119"/>
      <c r="E167" s="96" t="str">
        <f t="shared" si="14"/>
        <v xml:space="preserve"> </v>
      </c>
      <c r="F167" s="96" t="str">
        <f t="shared" si="14"/>
        <v xml:space="preserve"> </v>
      </c>
    </row>
    <row r="168" spans="2:6" x14ac:dyDescent="0.35">
      <c r="B168" s="115"/>
      <c r="D168" s="119"/>
      <c r="E168" s="96" t="str">
        <f t="shared" si="14"/>
        <v xml:space="preserve"> </v>
      </c>
      <c r="F168" s="96" t="str">
        <f t="shared" si="14"/>
        <v xml:space="preserve"> </v>
      </c>
    </row>
    <row r="169" spans="2:6" x14ac:dyDescent="0.35">
      <c r="B169" s="115"/>
      <c r="D169" s="119"/>
      <c r="E169" s="96" t="str">
        <f t="shared" si="14"/>
        <v xml:space="preserve"> </v>
      </c>
      <c r="F169" s="96" t="str">
        <f t="shared" si="14"/>
        <v xml:space="preserve"> </v>
      </c>
    </row>
    <row r="170" spans="2:6" x14ac:dyDescent="0.35">
      <c r="B170" s="115"/>
      <c r="D170" s="119"/>
      <c r="E170" s="96" t="str">
        <f t="shared" si="14"/>
        <v xml:space="preserve"> </v>
      </c>
      <c r="F170" s="96" t="str">
        <f t="shared" si="14"/>
        <v xml:space="preserve"> </v>
      </c>
    </row>
    <row r="171" spans="2:6" x14ac:dyDescent="0.35">
      <c r="B171" s="115"/>
      <c r="D171" s="119"/>
      <c r="E171" s="96" t="str">
        <f t="shared" si="14"/>
        <v xml:space="preserve"> </v>
      </c>
      <c r="F171" s="96" t="str">
        <f t="shared" si="14"/>
        <v xml:space="preserve"> </v>
      </c>
    </row>
    <row r="172" spans="2:6" x14ac:dyDescent="0.35">
      <c r="B172" s="115"/>
      <c r="D172" s="119"/>
      <c r="E172" s="96" t="str">
        <f t="shared" si="14"/>
        <v xml:space="preserve"> </v>
      </c>
      <c r="F172" s="96" t="str">
        <f t="shared" si="14"/>
        <v xml:space="preserve"> </v>
      </c>
    </row>
    <row r="173" spans="2:6" x14ac:dyDescent="0.35">
      <c r="B173" s="115"/>
      <c r="D173" s="119"/>
      <c r="E173" s="96" t="str">
        <f t="shared" si="14"/>
        <v xml:space="preserve"> </v>
      </c>
      <c r="F173" s="96" t="str">
        <f t="shared" si="14"/>
        <v xml:space="preserve"> </v>
      </c>
    </row>
    <row r="174" spans="2:6" x14ac:dyDescent="0.35">
      <c r="B174" s="115"/>
      <c r="D174" s="119"/>
      <c r="E174" s="96" t="str">
        <f t="shared" si="14"/>
        <v xml:space="preserve"> </v>
      </c>
      <c r="F174" s="96" t="str">
        <f t="shared" si="14"/>
        <v xml:space="preserve"> </v>
      </c>
    </row>
    <row r="175" spans="2:6" x14ac:dyDescent="0.35">
      <c r="B175" s="115"/>
      <c r="D175" s="119"/>
      <c r="E175" s="96" t="str">
        <f t="shared" si="14"/>
        <v xml:space="preserve"> </v>
      </c>
      <c r="F175" s="96" t="str">
        <f t="shared" si="14"/>
        <v xml:space="preserve"> </v>
      </c>
    </row>
    <row r="176" spans="2:6" x14ac:dyDescent="0.35">
      <c r="B176" s="115"/>
      <c r="D176" s="119"/>
      <c r="E176" s="96" t="str">
        <f t="shared" si="14"/>
        <v xml:space="preserve"> </v>
      </c>
      <c r="F176" s="96" t="str">
        <f t="shared" si="14"/>
        <v xml:space="preserve"> </v>
      </c>
    </row>
    <row r="177" spans="2:6" x14ac:dyDescent="0.35">
      <c r="B177" s="115"/>
      <c r="D177" s="119"/>
      <c r="E177" s="96" t="str">
        <f t="shared" si="14"/>
        <v xml:space="preserve"> </v>
      </c>
      <c r="F177" s="96" t="str">
        <f t="shared" si="14"/>
        <v xml:space="preserve"> </v>
      </c>
    </row>
    <row r="178" spans="2:6" x14ac:dyDescent="0.35">
      <c r="B178" s="115"/>
      <c r="D178" s="119"/>
      <c r="E178" s="96" t="str">
        <f t="shared" si="14"/>
        <v xml:space="preserve"> </v>
      </c>
      <c r="F178" s="96" t="str">
        <f t="shared" si="14"/>
        <v xml:space="preserve"> </v>
      </c>
    </row>
    <row r="179" spans="2:6" x14ac:dyDescent="0.35">
      <c r="B179" s="115"/>
      <c r="D179" s="119"/>
      <c r="E179" s="96" t="str">
        <f t="shared" si="14"/>
        <v xml:space="preserve"> </v>
      </c>
      <c r="F179" s="96" t="str">
        <f t="shared" si="14"/>
        <v xml:space="preserve"> </v>
      </c>
    </row>
    <row r="180" spans="2:6" x14ac:dyDescent="0.35">
      <c r="B180" s="115"/>
      <c r="D180" s="119"/>
      <c r="E180" s="96" t="str">
        <f t="shared" si="14"/>
        <v xml:space="preserve"> </v>
      </c>
      <c r="F180" s="96" t="str">
        <f t="shared" si="14"/>
        <v xml:space="preserve"> </v>
      </c>
    </row>
    <row r="181" spans="2:6" x14ac:dyDescent="0.35">
      <c r="B181" s="115"/>
      <c r="D181" s="119"/>
      <c r="E181" s="96" t="str">
        <f t="shared" si="14"/>
        <v xml:space="preserve"> </v>
      </c>
      <c r="F181" s="96" t="str">
        <f t="shared" si="14"/>
        <v xml:space="preserve"> </v>
      </c>
    </row>
    <row r="182" spans="2:6" x14ac:dyDescent="0.35">
      <c r="B182" s="115"/>
      <c r="D182" s="119"/>
      <c r="E182" s="96" t="str">
        <f t="shared" si="14"/>
        <v xml:space="preserve"> </v>
      </c>
      <c r="F182" s="96" t="str">
        <f t="shared" si="14"/>
        <v xml:space="preserve"> </v>
      </c>
    </row>
    <row r="183" spans="2:6" x14ac:dyDescent="0.35">
      <c r="B183" s="115"/>
      <c r="D183" s="119"/>
      <c r="E183" s="96" t="str">
        <f t="shared" si="14"/>
        <v xml:space="preserve"> </v>
      </c>
      <c r="F183" s="96" t="str">
        <f t="shared" si="14"/>
        <v xml:space="preserve"> </v>
      </c>
    </row>
    <row r="184" spans="2:6" x14ac:dyDescent="0.35">
      <c r="B184" s="115"/>
      <c r="D184" s="119"/>
      <c r="E184" s="96" t="str">
        <f t="shared" si="14"/>
        <v xml:space="preserve"> </v>
      </c>
      <c r="F184" s="96" t="str">
        <f t="shared" si="14"/>
        <v xml:space="preserve"> </v>
      </c>
    </row>
    <row r="185" spans="2:6" x14ac:dyDescent="0.35">
      <c r="B185" s="115"/>
      <c r="D185" s="119"/>
      <c r="E185" s="96" t="str">
        <f t="shared" si="14"/>
        <v xml:space="preserve"> </v>
      </c>
      <c r="F185" s="96" t="str">
        <f t="shared" si="14"/>
        <v xml:space="preserve"> </v>
      </c>
    </row>
    <row r="186" spans="2:6" x14ac:dyDescent="0.35">
      <c r="B186" s="115"/>
      <c r="D186" s="119"/>
      <c r="E186" s="96" t="str">
        <f t="shared" si="14"/>
        <v xml:space="preserve"> </v>
      </c>
      <c r="F186" s="96" t="str">
        <f t="shared" si="14"/>
        <v xml:space="preserve"> </v>
      </c>
    </row>
    <row r="187" spans="2:6" x14ac:dyDescent="0.35">
      <c r="B187" s="115"/>
      <c r="D187" s="119"/>
      <c r="E187" s="96" t="str">
        <f t="shared" si="14"/>
        <v xml:space="preserve"> </v>
      </c>
      <c r="F187" s="96" t="str">
        <f t="shared" si="14"/>
        <v xml:space="preserve"> </v>
      </c>
    </row>
    <row r="188" spans="2:6" x14ac:dyDescent="0.35">
      <c r="B188" s="115"/>
      <c r="D188" s="119"/>
      <c r="E188" s="96" t="str">
        <f t="shared" si="14"/>
        <v xml:space="preserve"> </v>
      </c>
      <c r="F188" s="96" t="str">
        <f t="shared" si="14"/>
        <v xml:space="preserve"> </v>
      </c>
    </row>
    <row r="189" spans="2:6" x14ac:dyDescent="0.35">
      <c r="B189" s="115"/>
      <c r="D189" s="119"/>
      <c r="E189" s="96" t="str">
        <f t="shared" si="14"/>
        <v xml:space="preserve"> </v>
      </c>
      <c r="F189" s="96" t="str">
        <f t="shared" si="14"/>
        <v xml:space="preserve"> </v>
      </c>
    </row>
    <row r="190" spans="2:6" x14ac:dyDescent="0.35">
      <c r="B190" s="115"/>
      <c r="D190" s="119"/>
      <c r="E190" s="96" t="str">
        <f t="shared" si="14"/>
        <v xml:space="preserve"> </v>
      </c>
      <c r="F190" s="96" t="str">
        <f t="shared" si="14"/>
        <v xml:space="preserve"> </v>
      </c>
    </row>
    <row r="191" spans="2:6" x14ac:dyDescent="0.35">
      <c r="B191" s="115"/>
      <c r="D191" s="119"/>
      <c r="E191" s="96" t="str">
        <f t="shared" si="14"/>
        <v xml:space="preserve"> </v>
      </c>
      <c r="F191" s="96" t="str">
        <f t="shared" si="14"/>
        <v xml:space="preserve"> </v>
      </c>
    </row>
    <row r="192" spans="2:6" x14ac:dyDescent="0.35">
      <c r="B192" s="115"/>
      <c r="D192" s="119"/>
      <c r="E192" s="96" t="str">
        <f t="shared" si="14"/>
        <v xml:space="preserve"> </v>
      </c>
      <c r="F192" s="96" t="str">
        <f t="shared" si="14"/>
        <v xml:space="preserve"> </v>
      </c>
    </row>
    <row r="193" spans="2:6" x14ac:dyDescent="0.35">
      <c r="B193" s="115"/>
      <c r="D193" s="119"/>
      <c r="E193" s="96" t="str">
        <f t="shared" si="14"/>
        <v xml:space="preserve"> </v>
      </c>
      <c r="F193" s="96" t="str">
        <f t="shared" si="14"/>
        <v xml:space="preserve"> </v>
      </c>
    </row>
    <row r="194" spans="2:6" x14ac:dyDescent="0.35">
      <c r="B194" s="115"/>
      <c r="D194" s="119"/>
      <c r="E194" s="96" t="str">
        <f t="shared" si="14"/>
        <v xml:space="preserve"> </v>
      </c>
      <c r="F194" s="96" t="str">
        <f t="shared" si="14"/>
        <v xml:space="preserve"> </v>
      </c>
    </row>
    <row r="195" spans="2:6" x14ac:dyDescent="0.35">
      <c r="B195" s="115"/>
      <c r="D195" s="119"/>
      <c r="E195" s="96" t="str">
        <f t="shared" si="14"/>
        <v xml:space="preserve"> </v>
      </c>
      <c r="F195" s="96" t="str">
        <f t="shared" si="14"/>
        <v xml:space="preserve"> </v>
      </c>
    </row>
    <row r="196" spans="2:6" x14ac:dyDescent="0.35">
      <c r="B196" s="115"/>
      <c r="D196" s="119"/>
      <c r="E196" s="96" t="str">
        <f t="shared" si="14"/>
        <v xml:space="preserve"> </v>
      </c>
      <c r="F196" s="96" t="str">
        <f t="shared" si="14"/>
        <v xml:space="preserve"> </v>
      </c>
    </row>
    <row r="197" spans="2:6" x14ac:dyDescent="0.35">
      <c r="B197" s="115"/>
      <c r="D197" s="119"/>
      <c r="E197" s="96" t="str">
        <f t="shared" si="14"/>
        <v xml:space="preserve"> </v>
      </c>
      <c r="F197" s="96" t="str">
        <f t="shared" si="14"/>
        <v xml:space="preserve"> </v>
      </c>
    </row>
    <row r="198" spans="2:6" x14ac:dyDescent="0.35">
      <c r="B198" s="115"/>
      <c r="D198" s="119"/>
      <c r="E198" s="96" t="str">
        <f t="shared" si="14"/>
        <v xml:space="preserve"> </v>
      </c>
      <c r="F198" s="96" t="str">
        <f t="shared" si="14"/>
        <v xml:space="preserve"> </v>
      </c>
    </row>
    <row r="199" spans="2:6" x14ac:dyDescent="0.35">
      <c r="B199" s="115"/>
      <c r="D199" s="119"/>
      <c r="E199" s="96" t="str">
        <f t="shared" si="14"/>
        <v xml:space="preserve"> </v>
      </c>
      <c r="F199" s="96" t="str">
        <f t="shared" si="14"/>
        <v xml:space="preserve"> </v>
      </c>
    </row>
    <row r="200" spans="2:6" x14ac:dyDescent="0.35">
      <c r="B200" s="115"/>
      <c r="D200" s="119"/>
      <c r="E200" s="96" t="str">
        <f t="shared" si="14"/>
        <v xml:space="preserve"> </v>
      </c>
      <c r="F200" s="96" t="str">
        <f t="shared" si="14"/>
        <v xml:space="preserve"> </v>
      </c>
    </row>
    <row r="201" spans="2:6" x14ac:dyDescent="0.35">
      <c r="B201" s="115"/>
      <c r="D201" s="119"/>
      <c r="E201" s="96" t="str">
        <f t="shared" si="14"/>
        <v xml:space="preserve"> </v>
      </c>
      <c r="F201" s="96" t="str">
        <f t="shared" si="14"/>
        <v xml:space="preserve"> </v>
      </c>
    </row>
    <row r="202" spans="2:6" x14ac:dyDescent="0.35">
      <c r="B202" s="115"/>
      <c r="D202" s="119"/>
      <c r="E202" s="96" t="str">
        <f t="shared" si="14"/>
        <v xml:space="preserve"> </v>
      </c>
      <c r="F202" s="96" t="str">
        <f t="shared" si="14"/>
        <v xml:space="preserve"> </v>
      </c>
    </row>
    <row r="203" spans="2:6" x14ac:dyDescent="0.35">
      <c r="B203" s="115"/>
      <c r="D203" s="119"/>
      <c r="E203" s="96" t="str">
        <f t="shared" si="14"/>
        <v xml:space="preserve"> </v>
      </c>
      <c r="F203" s="96" t="str">
        <f t="shared" si="14"/>
        <v xml:space="preserve"> </v>
      </c>
    </row>
    <row r="204" spans="2:6" x14ac:dyDescent="0.35">
      <c r="B204" s="115"/>
      <c r="D204" s="119"/>
      <c r="E204" s="96" t="str">
        <f t="shared" si="14"/>
        <v xml:space="preserve"> </v>
      </c>
      <c r="F204" s="96" t="str">
        <f t="shared" si="14"/>
        <v xml:space="preserve"> </v>
      </c>
    </row>
    <row r="205" spans="2:6" x14ac:dyDescent="0.35">
      <c r="B205" s="115"/>
      <c r="D205" s="119"/>
      <c r="E205" s="96" t="str">
        <f t="shared" si="14"/>
        <v xml:space="preserve"> </v>
      </c>
      <c r="F205" s="96" t="str">
        <f t="shared" si="14"/>
        <v xml:space="preserve"> </v>
      </c>
    </row>
    <row r="206" spans="2:6" x14ac:dyDescent="0.35">
      <c r="B206" s="115"/>
      <c r="D206" s="119"/>
      <c r="E206" s="96" t="str">
        <f t="shared" si="14"/>
        <v xml:space="preserve"> </v>
      </c>
      <c r="F206" s="96" t="str">
        <f t="shared" si="14"/>
        <v xml:space="preserve"> </v>
      </c>
    </row>
    <row r="207" spans="2:6" x14ac:dyDescent="0.35">
      <c r="B207" s="115"/>
      <c r="D207" s="119"/>
      <c r="E207" s="96" t="str">
        <f t="shared" si="14"/>
        <v xml:space="preserve"> </v>
      </c>
      <c r="F207" s="96" t="str">
        <f t="shared" si="14"/>
        <v xml:space="preserve"> </v>
      </c>
    </row>
    <row r="208" spans="2:6" x14ac:dyDescent="0.35">
      <c r="B208" s="115"/>
      <c r="D208" s="119"/>
      <c r="E208" s="96" t="str">
        <f t="shared" si="14"/>
        <v xml:space="preserve"> </v>
      </c>
      <c r="F208" s="96" t="str">
        <f t="shared" si="14"/>
        <v xml:space="preserve"> </v>
      </c>
    </row>
    <row r="209" spans="2:6" x14ac:dyDescent="0.35">
      <c r="B209" s="115"/>
      <c r="D209" s="119"/>
      <c r="E209" s="96" t="str">
        <f t="shared" si="14"/>
        <v xml:space="preserve"> </v>
      </c>
      <c r="F209" s="96" t="str">
        <f t="shared" si="14"/>
        <v xml:space="preserve"> </v>
      </c>
    </row>
    <row r="210" spans="2:6" x14ac:dyDescent="0.35">
      <c r="B210" s="115"/>
      <c r="D210" s="119"/>
      <c r="E210" s="96" t="str">
        <f t="shared" si="14"/>
        <v xml:space="preserve"> </v>
      </c>
      <c r="F210" s="96" t="str">
        <f t="shared" si="14"/>
        <v xml:space="preserve"> </v>
      </c>
    </row>
    <row r="211" spans="2:6" x14ac:dyDescent="0.35">
      <c r="B211" s="115"/>
      <c r="D211" s="119"/>
      <c r="E211" s="96" t="str">
        <f t="shared" si="14"/>
        <v xml:space="preserve"> </v>
      </c>
      <c r="F211" s="96" t="str">
        <f t="shared" si="14"/>
        <v xml:space="preserve"> </v>
      </c>
    </row>
    <row r="212" spans="2:6" x14ac:dyDescent="0.35">
      <c r="B212" s="115"/>
      <c r="D212" s="119"/>
      <c r="E212" s="96" t="str">
        <f t="shared" si="14"/>
        <v xml:space="preserve"> </v>
      </c>
      <c r="F212" s="96" t="str">
        <f t="shared" si="14"/>
        <v xml:space="preserve"> </v>
      </c>
    </row>
    <row r="213" spans="2:6" x14ac:dyDescent="0.35">
      <c r="B213" s="115"/>
      <c r="D213" s="119"/>
      <c r="E213" s="96" t="str">
        <f t="shared" si="14"/>
        <v xml:space="preserve"> </v>
      </c>
      <c r="F213" s="96" t="str">
        <f t="shared" si="14"/>
        <v xml:space="preserve"> </v>
      </c>
    </row>
    <row r="214" spans="2:6" x14ac:dyDescent="0.35">
      <c r="B214" s="115"/>
      <c r="D214" s="119"/>
      <c r="E214" s="96" t="str">
        <f t="shared" si="14"/>
        <v xml:space="preserve"> </v>
      </c>
      <c r="F214" s="96" t="str">
        <f t="shared" si="14"/>
        <v xml:space="preserve"> </v>
      </c>
    </row>
    <row r="215" spans="2:6" x14ac:dyDescent="0.35">
      <c r="B215" s="115"/>
      <c r="D215" s="119"/>
      <c r="E215" s="96" t="str">
        <f t="shared" ref="E215:F278" si="15">IF((IFERROR(C215/C214-1," "))=-1," ",IFERROR(C215/C214-1," "))</f>
        <v xml:space="preserve"> </v>
      </c>
      <c r="F215" s="96" t="str">
        <f t="shared" si="15"/>
        <v xml:space="preserve"> </v>
      </c>
    </row>
    <row r="216" spans="2:6" x14ac:dyDescent="0.35">
      <c r="B216" s="115"/>
      <c r="D216" s="119"/>
      <c r="E216" s="96" t="str">
        <f t="shared" si="15"/>
        <v xml:space="preserve"> </v>
      </c>
      <c r="F216" s="96" t="str">
        <f t="shared" si="15"/>
        <v xml:space="preserve"> </v>
      </c>
    </row>
    <row r="217" spans="2:6" x14ac:dyDescent="0.35">
      <c r="B217" s="115"/>
      <c r="D217" s="119"/>
      <c r="E217" s="96" t="str">
        <f t="shared" si="15"/>
        <v xml:space="preserve"> </v>
      </c>
      <c r="F217" s="96" t="str">
        <f t="shared" si="15"/>
        <v xml:space="preserve"> </v>
      </c>
    </row>
    <row r="218" spans="2:6" x14ac:dyDescent="0.35">
      <c r="B218" s="115"/>
      <c r="D218" s="119"/>
      <c r="E218" s="96" t="str">
        <f t="shared" si="15"/>
        <v xml:space="preserve"> </v>
      </c>
      <c r="F218" s="96" t="str">
        <f t="shared" si="15"/>
        <v xml:space="preserve"> </v>
      </c>
    </row>
    <row r="219" spans="2:6" x14ac:dyDescent="0.35">
      <c r="B219" s="115"/>
      <c r="D219" s="119"/>
      <c r="E219" s="96" t="str">
        <f t="shared" si="15"/>
        <v xml:space="preserve"> </v>
      </c>
      <c r="F219" s="96" t="str">
        <f t="shared" si="15"/>
        <v xml:space="preserve"> </v>
      </c>
    </row>
    <row r="220" spans="2:6" x14ac:dyDescent="0.35">
      <c r="B220" s="115"/>
      <c r="D220" s="119"/>
      <c r="E220" s="96" t="str">
        <f t="shared" si="15"/>
        <v xml:space="preserve"> </v>
      </c>
      <c r="F220" s="96" t="str">
        <f t="shared" si="15"/>
        <v xml:space="preserve"> </v>
      </c>
    </row>
    <row r="221" spans="2:6" x14ac:dyDescent="0.35">
      <c r="B221" s="115"/>
      <c r="D221" s="119"/>
      <c r="E221" s="96" t="str">
        <f t="shared" si="15"/>
        <v xml:space="preserve"> </v>
      </c>
      <c r="F221" s="96" t="str">
        <f t="shared" si="15"/>
        <v xml:space="preserve"> </v>
      </c>
    </row>
    <row r="222" spans="2:6" x14ac:dyDescent="0.35">
      <c r="B222" s="115"/>
      <c r="D222" s="119"/>
      <c r="E222" s="96" t="str">
        <f t="shared" si="15"/>
        <v xml:space="preserve"> </v>
      </c>
      <c r="F222" s="96" t="str">
        <f t="shared" si="15"/>
        <v xml:space="preserve"> </v>
      </c>
    </row>
    <row r="223" spans="2:6" x14ac:dyDescent="0.35">
      <c r="B223" s="115"/>
      <c r="D223" s="119"/>
      <c r="E223" s="96" t="str">
        <f t="shared" si="15"/>
        <v xml:space="preserve"> </v>
      </c>
      <c r="F223" s="96" t="str">
        <f t="shared" si="15"/>
        <v xml:space="preserve"> </v>
      </c>
    </row>
    <row r="224" spans="2:6" x14ac:dyDescent="0.35">
      <c r="B224" s="115"/>
      <c r="D224" s="119"/>
      <c r="E224" s="96" t="str">
        <f t="shared" si="15"/>
        <v xml:space="preserve"> </v>
      </c>
      <c r="F224" s="96" t="str">
        <f t="shared" si="15"/>
        <v xml:space="preserve"> </v>
      </c>
    </row>
    <row r="225" spans="2:6" x14ac:dyDescent="0.35">
      <c r="B225" s="115"/>
      <c r="D225" s="119"/>
      <c r="E225" s="96" t="str">
        <f t="shared" si="15"/>
        <v xml:space="preserve"> </v>
      </c>
      <c r="F225" s="96" t="str">
        <f t="shared" si="15"/>
        <v xml:space="preserve"> </v>
      </c>
    </row>
    <row r="226" spans="2:6" x14ac:dyDescent="0.35">
      <c r="B226" s="115"/>
      <c r="D226" s="119"/>
      <c r="E226" s="96" t="str">
        <f t="shared" si="15"/>
        <v xml:space="preserve"> </v>
      </c>
      <c r="F226" s="96" t="str">
        <f t="shared" si="15"/>
        <v xml:space="preserve"> </v>
      </c>
    </row>
    <row r="227" spans="2:6" x14ac:dyDescent="0.35">
      <c r="B227" s="115"/>
      <c r="D227" s="119"/>
      <c r="E227" s="96" t="str">
        <f t="shared" si="15"/>
        <v xml:space="preserve"> </v>
      </c>
      <c r="F227" s="96" t="str">
        <f t="shared" si="15"/>
        <v xml:space="preserve"> </v>
      </c>
    </row>
    <row r="228" spans="2:6" x14ac:dyDescent="0.35">
      <c r="B228" s="115"/>
      <c r="D228" s="119"/>
      <c r="E228" s="96" t="str">
        <f t="shared" si="15"/>
        <v xml:space="preserve"> </v>
      </c>
      <c r="F228" s="96" t="str">
        <f t="shared" si="15"/>
        <v xml:space="preserve"> </v>
      </c>
    </row>
    <row r="229" spans="2:6" x14ac:dyDescent="0.35">
      <c r="B229" s="115"/>
      <c r="D229" s="119"/>
      <c r="E229" s="96" t="str">
        <f t="shared" si="15"/>
        <v xml:space="preserve"> </v>
      </c>
      <c r="F229" s="96" t="str">
        <f t="shared" si="15"/>
        <v xml:space="preserve"> </v>
      </c>
    </row>
    <row r="230" spans="2:6" x14ac:dyDescent="0.35">
      <c r="B230" s="115"/>
      <c r="D230" s="119"/>
      <c r="E230" s="96" t="str">
        <f t="shared" si="15"/>
        <v xml:space="preserve"> </v>
      </c>
      <c r="F230" s="96" t="str">
        <f t="shared" si="15"/>
        <v xml:space="preserve"> </v>
      </c>
    </row>
    <row r="231" spans="2:6" x14ac:dyDescent="0.35">
      <c r="B231" s="115"/>
      <c r="D231" s="119"/>
      <c r="E231" s="96" t="str">
        <f t="shared" si="15"/>
        <v xml:space="preserve"> </v>
      </c>
      <c r="F231" s="96" t="str">
        <f t="shared" si="15"/>
        <v xml:space="preserve"> </v>
      </c>
    </row>
    <row r="232" spans="2:6" x14ac:dyDescent="0.35">
      <c r="B232" s="115"/>
      <c r="D232" s="119"/>
      <c r="E232" s="96" t="str">
        <f t="shared" si="15"/>
        <v xml:space="preserve"> </v>
      </c>
      <c r="F232" s="96" t="str">
        <f t="shared" si="15"/>
        <v xml:space="preserve"> </v>
      </c>
    </row>
    <row r="233" spans="2:6" x14ac:dyDescent="0.35">
      <c r="B233" s="115"/>
      <c r="D233" s="119"/>
      <c r="E233" s="96" t="str">
        <f t="shared" si="15"/>
        <v xml:space="preserve"> </v>
      </c>
      <c r="F233" s="96" t="str">
        <f t="shared" si="15"/>
        <v xml:space="preserve"> </v>
      </c>
    </row>
    <row r="234" spans="2:6" x14ac:dyDescent="0.35">
      <c r="B234" s="115"/>
      <c r="D234" s="119"/>
      <c r="E234" s="96" t="str">
        <f t="shared" si="15"/>
        <v xml:space="preserve"> </v>
      </c>
      <c r="F234" s="96" t="str">
        <f t="shared" si="15"/>
        <v xml:space="preserve"> </v>
      </c>
    </row>
    <row r="235" spans="2:6" x14ac:dyDescent="0.35">
      <c r="B235" s="115"/>
      <c r="D235" s="119"/>
      <c r="E235" s="96" t="str">
        <f t="shared" si="15"/>
        <v xml:space="preserve"> </v>
      </c>
      <c r="F235" s="96" t="str">
        <f t="shared" si="15"/>
        <v xml:space="preserve"> </v>
      </c>
    </row>
    <row r="236" spans="2:6" x14ac:dyDescent="0.35">
      <c r="B236" s="115"/>
      <c r="D236" s="119"/>
      <c r="E236" s="96" t="str">
        <f t="shared" si="15"/>
        <v xml:space="preserve"> </v>
      </c>
      <c r="F236" s="96" t="str">
        <f t="shared" si="15"/>
        <v xml:space="preserve"> </v>
      </c>
    </row>
    <row r="237" spans="2:6" x14ac:dyDescent="0.35">
      <c r="B237" s="115"/>
      <c r="D237" s="119"/>
      <c r="E237" s="96" t="str">
        <f t="shared" si="15"/>
        <v xml:space="preserve"> </v>
      </c>
      <c r="F237" s="96" t="str">
        <f t="shared" si="15"/>
        <v xml:space="preserve"> </v>
      </c>
    </row>
    <row r="238" spans="2:6" x14ac:dyDescent="0.35">
      <c r="B238" s="115"/>
      <c r="D238" s="119"/>
      <c r="E238" s="96" t="str">
        <f t="shared" si="15"/>
        <v xml:space="preserve"> </v>
      </c>
      <c r="F238" s="96" t="str">
        <f t="shared" si="15"/>
        <v xml:space="preserve"> </v>
      </c>
    </row>
    <row r="239" spans="2:6" x14ac:dyDescent="0.35">
      <c r="B239" s="115"/>
      <c r="D239" s="119"/>
      <c r="E239" s="96" t="str">
        <f t="shared" si="15"/>
        <v xml:space="preserve"> </v>
      </c>
      <c r="F239" s="96" t="str">
        <f t="shared" si="15"/>
        <v xml:space="preserve"> </v>
      </c>
    </row>
    <row r="240" spans="2:6" x14ac:dyDescent="0.35">
      <c r="B240" s="115"/>
      <c r="D240" s="119"/>
      <c r="E240" s="96" t="str">
        <f t="shared" si="15"/>
        <v xml:space="preserve"> </v>
      </c>
      <c r="F240" s="96" t="str">
        <f t="shared" si="15"/>
        <v xml:space="preserve"> </v>
      </c>
    </row>
    <row r="241" spans="2:6" x14ac:dyDescent="0.35">
      <c r="B241" s="115"/>
      <c r="D241" s="119"/>
      <c r="E241" s="96" t="str">
        <f t="shared" si="15"/>
        <v xml:space="preserve"> </v>
      </c>
      <c r="F241" s="96" t="str">
        <f t="shared" si="15"/>
        <v xml:space="preserve"> </v>
      </c>
    </row>
    <row r="242" spans="2:6" x14ac:dyDescent="0.35">
      <c r="B242" s="115"/>
      <c r="D242" s="119"/>
      <c r="E242" s="96" t="str">
        <f t="shared" si="15"/>
        <v xml:space="preserve"> </v>
      </c>
      <c r="F242" s="96" t="str">
        <f t="shared" si="15"/>
        <v xml:space="preserve"> </v>
      </c>
    </row>
    <row r="243" spans="2:6" x14ac:dyDescent="0.35">
      <c r="B243" s="115"/>
      <c r="D243" s="119"/>
      <c r="E243" s="96" t="str">
        <f t="shared" si="15"/>
        <v xml:space="preserve"> </v>
      </c>
      <c r="F243" s="96" t="str">
        <f t="shared" si="15"/>
        <v xml:space="preserve"> </v>
      </c>
    </row>
    <row r="244" spans="2:6" x14ac:dyDescent="0.35">
      <c r="B244" s="115"/>
      <c r="D244" s="119"/>
      <c r="E244" s="96" t="str">
        <f t="shared" si="15"/>
        <v xml:space="preserve"> </v>
      </c>
      <c r="F244" s="96" t="str">
        <f t="shared" si="15"/>
        <v xml:space="preserve"> </v>
      </c>
    </row>
    <row r="245" spans="2:6" x14ac:dyDescent="0.35">
      <c r="B245" s="115"/>
      <c r="D245" s="119"/>
      <c r="E245" s="96" t="str">
        <f t="shared" si="15"/>
        <v xml:space="preserve"> </v>
      </c>
      <c r="F245" s="96" t="str">
        <f t="shared" si="15"/>
        <v xml:space="preserve"> </v>
      </c>
    </row>
    <row r="246" spans="2:6" x14ac:dyDescent="0.35">
      <c r="B246" s="115"/>
      <c r="D246" s="119"/>
      <c r="E246" s="96" t="str">
        <f t="shared" si="15"/>
        <v xml:space="preserve"> </v>
      </c>
      <c r="F246" s="96" t="str">
        <f t="shared" si="15"/>
        <v xml:space="preserve"> </v>
      </c>
    </row>
    <row r="247" spans="2:6" x14ac:dyDescent="0.35">
      <c r="B247" s="115"/>
      <c r="D247" s="119"/>
      <c r="E247" s="96" t="str">
        <f t="shared" si="15"/>
        <v xml:space="preserve"> </v>
      </c>
      <c r="F247" s="96" t="str">
        <f t="shared" si="15"/>
        <v xml:space="preserve"> </v>
      </c>
    </row>
    <row r="248" spans="2:6" x14ac:dyDescent="0.35">
      <c r="B248" s="115"/>
      <c r="D248" s="119"/>
      <c r="E248" s="96" t="str">
        <f t="shared" si="15"/>
        <v xml:space="preserve"> </v>
      </c>
      <c r="F248" s="96" t="str">
        <f t="shared" si="15"/>
        <v xml:space="preserve"> </v>
      </c>
    </row>
    <row r="249" spans="2:6" x14ac:dyDescent="0.35">
      <c r="B249" s="115"/>
      <c r="D249" s="119"/>
      <c r="E249" s="96" t="str">
        <f t="shared" si="15"/>
        <v xml:space="preserve"> </v>
      </c>
      <c r="F249" s="96" t="str">
        <f t="shared" si="15"/>
        <v xml:space="preserve"> </v>
      </c>
    </row>
    <row r="250" spans="2:6" x14ac:dyDescent="0.35">
      <c r="B250" s="115"/>
      <c r="D250" s="119"/>
      <c r="E250" s="96" t="str">
        <f t="shared" si="15"/>
        <v xml:space="preserve"> </v>
      </c>
      <c r="F250" s="96" t="str">
        <f t="shared" si="15"/>
        <v xml:space="preserve"> </v>
      </c>
    </row>
    <row r="251" spans="2:6" x14ac:dyDescent="0.35">
      <c r="B251" s="115"/>
      <c r="D251" s="119"/>
      <c r="E251" s="96" t="str">
        <f t="shared" si="15"/>
        <v xml:space="preserve"> </v>
      </c>
      <c r="F251" s="96" t="str">
        <f t="shared" si="15"/>
        <v xml:space="preserve"> </v>
      </c>
    </row>
    <row r="252" spans="2:6" x14ac:dyDescent="0.35">
      <c r="B252" s="115"/>
      <c r="D252" s="119"/>
      <c r="E252" s="96" t="str">
        <f t="shared" si="15"/>
        <v xml:space="preserve"> </v>
      </c>
      <c r="F252" s="96" t="str">
        <f t="shared" si="15"/>
        <v xml:space="preserve"> </v>
      </c>
    </row>
    <row r="253" spans="2:6" x14ac:dyDescent="0.35">
      <c r="B253" s="115"/>
      <c r="D253" s="119"/>
      <c r="E253" s="96" t="str">
        <f t="shared" si="15"/>
        <v xml:space="preserve"> </v>
      </c>
      <c r="F253" s="96" t="str">
        <f t="shared" si="15"/>
        <v xml:space="preserve"> </v>
      </c>
    </row>
    <row r="254" spans="2:6" x14ac:dyDescent="0.35">
      <c r="B254" s="115"/>
      <c r="D254" s="119"/>
      <c r="E254" s="96" t="str">
        <f t="shared" si="15"/>
        <v xml:space="preserve"> </v>
      </c>
      <c r="F254" s="96" t="str">
        <f t="shared" si="15"/>
        <v xml:space="preserve"> </v>
      </c>
    </row>
    <row r="255" spans="2:6" x14ac:dyDescent="0.35">
      <c r="B255" s="115"/>
      <c r="D255" s="119"/>
      <c r="E255" s="96" t="str">
        <f t="shared" si="15"/>
        <v xml:space="preserve"> </v>
      </c>
      <c r="F255" s="96" t="str">
        <f t="shared" si="15"/>
        <v xml:space="preserve"> </v>
      </c>
    </row>
    <row r="256" spans="2:6" x14ac:dyDescent="0.35">
      <c r="B256" s="115"/>
      <c r="D256" s="119"/>
      <c r="E256" s="96" t="str">
        <f t="shared" si="15"/>
        <v xml:space="preserve"> </v>
      </c>
      <c r="F256" s="96" t="str">
        <f t="shared" si="15"/>
        <v xml:space="preserve"> </v>
      </c>
    </row>
    <row r="257" spans="2:6" x14ac:dyDescent="0.35">
      <c r="B257" s="115"/>
      <c r="D257" s="119"/>
      <c r="E257" s="96" t="str">
        <f t="shared" si="15"/>
        <v xml:space="preserve"> </v>
      </c>
      <c r="F257" s="96" t="str">
        <f t="shared" si="15"/>
        <v xml:space="preserve"> </v>
      </c>
    </row>
    <row r="258" spans="2:6" x14ac:dyDescent="0.35">
      <c r="B258" s="115"/>
      <c r="D258" s="119"/>
      <c r="E258" s="96" t="str">
        <f t="shared" si="15"/>
        <v xml:space="preserve"> </v>
      </c>
      <c r="F258" s="96" t="str">
        <f t="shared" si="15"/>
        <v xml:space="preserve"> </v>
      </c>
    </row>
    <row r="259" spans="2:6" x14ac:dyDescent="0.35">
      <c r="B259" s="115"/>
      <c r="D259" s="119"/>
      <c r="E259" s="96" t="str">
        <f t="shared" si="15"/>
        <v xml:space="preserve"> </v>
      </c>
      <c r="F259" s="96" t="str">
        <f t="shared" si="15"/>
        <v xml:space="preserve"> </v>
      </c>
    </row>
    <row r="260" spans="2:6" x14ac:dyDescent="0.35">
      <c r="B260" s="115"/>
      <c r="D260" s="119"/>
      <c r="E260" s="96" t="str">
        <f t="shared" si="15"/>
        <v xml:space="preserve"> </v>
      </c>
      <c r="F260" s="96" t="str">
        <f t="shared" si="15"/>
        <v xml:space="preserve"> </v>
      </c>
    </row>
    <row r="261" spans="2:6" x14ac:dyDescent="0.35">
      <c r="B261" s="115"/>
      <c r="D261" s="119"/>
      <c r="E261" s="96" t="str">
        <f t="shared" si="15"/>
        <v xml:space="preserve"> </v>
      </c>
      <c r="F261" s="96" t="str">
        <f t="shared" si="15"/>
        <v xml:space="preserve"> </v>
      </c>
    </row>
    <row r="262" spans="2:6" x14ac:dyDescent="0.35">
      <c r="B262" s="115"/>
      <c r="D262" s="119"/>
      <c r="E262" s="96" t="str">
        <f t="shared" si="15"/>
        <v xml:space="preserve"> </v>
      </c>
      <c r="F262" s="96" t="str">
        <f t="shared" si="15"/>
        <v xml:space="preserve"> </v>
      </c>
    </row>
    <row r="263" spans="2:6" x14ac:dyDescent="0.35">
      <c r="B263" s="115"/>
      <c r="D263" s="119"/>
      <c r="E263" s="96" t="str">
        <f t="shared" si="15"/>
        <v xml:space="preserve"> </v>
      </c>
      <c r="F263" s="96" t="str">
        <f t="shared" si="15"/>
        <v xml:space="preserve"> </v>
      </c>
    </row>
    <row r="264" spans="2:6" x14ac:dyDescent="0.35">
      <c r="B264" s="115"/>
      <c r="D264" s="119"/>
      <c r="E264" s="96" t="str">
        <f t="shared" si="15"/>
        <v xml:space="preserve"> </v>
      </c>
      <c r="F264" s="96" t="str">
        <f t="shared" si="15"/>
        <v xml:space="preserve"> </v>
      </c>
    </row>
    <row r="265" spans="2:6" x14ac:dyDescent="0.35">
      <c r="B265" s="115"/>
      <c r="D265" s="119"/>
      <c r="E265" s="96" t="str">
        <f t="shared" si="15"/>
        <v xml:space="preserve"> </v>
      </c>
      <c r="F265" s="96" t="str">
        <f t="shared" si="15"/>
        <v xml:space="preserve"> </v>
      </c>
    </row>
    <row r="266" spans="2:6" x14ac:dyDescent="0.35">
      <c r="B266" s="115"/>
      <c r="D266" s="119"/>
      <c r="E266" s="96" t="str">
        <f t="shared" si="15"/>
        <v xml:space="preserve"> </v>
      </c>
      <c r="F266" s="96" t="str">
        <f t="shared" si="15"/>
        <v xml:space="preserve"> </v>
      </c>
    </row>
    <row r="267" spans="2:6" x14ac:dyDescent="0.35">
      <c r="B267" s="115"/>
      <c r="D267" s="119"/>
      <c r="E267" s="96" t="str">
        <f t="shared" si="15"/>
        <v xml:space="preserve"> </v>
      </c>
      <c r="F267" s="96" t="str">
        <f t="shared" si="15"/>
        <v xml:space="preserve"> </v>
      </c>
    </row>
    <row r="268" spans="2:6" x14ac:dyDescent="0.35">
      <c r="B268" s="115"/>
      <c r="D268" s="119"/>
      <c r="E268" s="96" t="str">
        <f t="shared" si="15"/>
        <v xml:space="preserve"> </v>
      </c>
      <c r="F268" s="96" t="str">
        <f t="shared" si="15"/>
        <v xml:space="preserve"> </v>
      </c>
    </row>
    <row r="269" spans="2:6" x14ac:dyDescent="0.35">
      <c r="B269" s="115"/>
      <c r="D269" s="119"/>
      <c r="E269" s="96" t="str">
        <f t="shared" si="15"/>
        <v xml:space="preserve"> </v>
      </c>
      <c r="F269" s="96" t="str">
        <f t="shared" si="15"/>
        <v xml:space="preserve"> </v>
      </c>
    </row>
    <row r="270" spans="2:6" x14ac:dyDescent="0.35">
      <c r="B270" s="115"/>
      <c r="D270" s="119"/>
      <c r="E270" s="96" t="str">
        <f t="shared" si="15"/>
        <v xml:space="preserve"> </v>
      </c>
      <c r="F270" s="96" t="str">
        <f t="shared" si="15"/>
        <v xml:space="preserve"> </v>
      </c>
    </row>
    <row r="271" spans="2:6" x14ac:dyDescent="0.35">
      <c r="B271" s="115"/>
      <c r="D271" s="119"/>
      <c r="E271" s="96" t="str">
        <f t="shared" si="15"/>
        <v xml:space="preserve"> </v>
      </c>
      <c r="F271" s="96" t="str">
        <f t="shared" si="15"/>
        <v xml:space="preserve"> </v>
      </c>
    </row>
    <row r="272" spans="2:6" x14ac:dyDescent="0.35">
      <c r="B272" s="115"/>
      <c r="D272" s="119"/>
      <c r="E272" s="96" t="str">
        <f t="shared" si="15"/>
        <v xml:space="preserve"> </v>
      </c>
      <c r="F272" s="96" t="str">
        <f t="shared" si="15"/>
        <v xml:space="preserve"> </v>
      </c>
    </row>
    <row r="273" spans="2:6" x14ac:dyDescent="0.35">
      <c r="B273" s="115"/>
      <c r="D273" s="119"/>
      <c r="E273" s="96" t="str">
        <f t="shared" si="15"/>
        <v xml:space="preserve"> </v>
      </c>
      <c r="F273" s="96" t="str">
        <f t="shared" si="15"/>
        <v xml:space="preserve"> </v>
      </c>
    </row>
    <row r="274" spans="2:6" x14ac:dyDescent="0.35">
      <c r="B274" s="115"/>
      <c r="D274" s="119"/>
      <c r="E274" s="96" t="str">
        <f t="shared" si="15"/>
        <v xml:space="preserve"> </v>
      </c>
      <c r="F274" s="96" t="str">
        <f t="shared" si="15"/>
        <v xml:space="preserve"> </v>
      </c>
    </row>
    <row r="275" spans="2:6" x14ac:dyDescent="0.35">
      <c r="B275" s="115"/>
      <c r="D275" s="119"/>
      <c r="E275" s="96" t="str">
        <f t="shared" si="15"/>
        <v xml:space="preserve"> </v>
      </c>
      <c r="F275" s="96" t="str">
        <f t="shared" si="15"/>
        <v xml:space="preserve"> </v>
      </c>
    </row>
    <row r="276" spans="2:6" x14ac:dyDescent="0.35">
      <c r="B276" s="115"/>
      <c r="D276" s="119"/>
      <c r="E276" s="96" t="str">
        <f t="shared" si="15"/>
        <v xml:space="preserve"> </v>
      </c>
      <c r="F276" s="96" t="str">
        <f t="shared" si="15"/>
        <v xml:space="preserve"> </v>
      </c>
    </row>
    <row r="277" spans="2:6" x14ac:dyDescent="0.35">
      <c r="B277" s="115"/>
      <c r="D277" s="119"/>
      <c r="E277" s="96" t="str">
        <f t="shared" si="15"/>
        <v xml:space="preserve"> </v>
      </c>
      <c r="F277" s="96" t="str">
        <f t="shared" si="15"/>
        <v xml:space="preserve"> </v>
      </c>
    </row>
    <row r="278" spans="2:6" x14ac:dyDescent="0.35">
      <c r="B278" s="115"/>
      <c r="D278" s="119"/>
      <c r="E278" s="96" t="str">
        <f t="shared" si="15"/>
        <v xml:space="preserve"> </v>
      </c>
      <c r="F278" s="96" t="str">
        <f t="shared" si="15"/>
        <v xml:space="preserve"> </v>
      </c>
    </row>
    <row r="279" spans="2:6" x14ac:dyDescent="0.35">
      <c r="B279" s="115"/>
      <c r="D279" s="119"/>
      <c r="E279" s="96" t="str">
        <f t="shared" ref="E279:F342" si="16">IF((IFERROR(C279/C278-1," "))=-1," ",IFERROR(C279/C278-1," "))</f>
        <v xml:space="preserve"> </v>
      </c>
      <c r="F279" s="96" t="str">
        <f t="shared" si="16"/>
        <v xml:space="preserve"> </v>
      </c>
    </row>
    <row r="280" spans="2:6" x14ac:dyDescent="0.35">
      <c r="B280" s="115"/>
      <c r="D280" s="119"/>
      <c r="E280" s="96" t="str">
        <f t="shared" si="16"/>
        <v xml:space="preserve"> </v>
      </c>
      <c r="F280" s="96" t="str">
        <f t="shared" si="16"/>
        <v xml:space="preserve"> </v>
      </c>
    </row>
    <row r="281" spans="2:6" x14ac:dyDescent="0.35">
      <c r="B281" s="115"/>
      <c r="D281" s="119"/>
      <c r="E281" s="96" t="str">
        <f t="shared" si="16"/>
        <v xml:space="preserve"> </v>
      </c>
      <c r="F281" s="96" t="str">
        <f t="shared" si="16"/>
        <v xml:space="preserve"> </v>
      </c>
    </row>
    <row r="282" spans="2:6" x14ac:dyDescent="0.35">
      <c r="B282" s="115"/>
      <c r="D282" s="119"/>
      <c r="E282" s="96" t="str">
        <f t="shared" si="16"/>
        <v xml:space="preserve"> </v>
      </c>
      <c r="F282" s="96" t="str">
        <f t="shared" si="16"/>
        <v xml:space="preserve"> </v>
      </c>
    </row>
    <row r="283" spans="2:6" x14ac:dyDescent="0.35">
      <c r="B283" s="115"/>
      <c r="D283" s="119"/>
      <c r="E283" s="96" t="str">
        <f t="shared" si="16"/>
        <v xml:space="preserve"> </v>
      </c>
      <c r="F283" s="96" t="str">
        <f t="shared" si="16"/>
        <v xml:space="preserve"> </v>
      </c>
    </row>
    <row r="284" spans="2:6" x14ac:dyDescent="0.35">
      <c r="B284" s="115"/>
      <c r="D284" s="119"/>
      <c r="E284" s="96" t="str">
        <f t="shared" si="16"/>
        <v xml:space="preserve"> </v>
      </c>
      <c r="F284" s="96" t="str">
        <f t="shared" si="16"/>
        <v xml:space="preserve"> </v>
      </c>
    </row>
    <row r="285" spans="2:6" x14ac:dyDescent="0.35">
      <c r="B285" s="115"/>
      <c r="D285" s="119"/>
      <c r="E285" s="96" t="str">
        <f t="shared" si="16"/>
        <v xml:space="preserve"> </v>
      </c>
      <c r="F285" s="96" t="str">
        <f t="shared" si="16"/>
        <v xml:space="preserve"> </v>
      </c>
    </row>
    <row r="286" spans="2:6" x14ac:dyDescent="0.35">
      <c r="B286" s="115"/>
      <c r="D286" s="119"/>
      <c r="E286" s="96" t="str">
        <f t="shared" si="16"/>
        <v xml:space="preserve"> </v>
      </c>
      <c r="F286" s="96" t="str">
        <f t="shared" si="16"/>
        <v xml:space="preserve"> </v>
      </c>
    </row>
    <row r="287" spans="2:6" x14ac:dyDescent="0.35">
      <c r="B287" s="115"/>
      <c r="D287" s="119"/>
      <c r="E287" s="96" t="str">
        <f t="shared" si="16"/>
        <v xml:space="preserve"> </v>
      </c>
      <c r="F287" s="96" t="str">
        <f t="shared" si="16"/>
        <v xml:space="preserve"> </v>
      </c>
    </row>
    <row r="288" spans="2:6" x14ac:dyDescent="0.35">
      <c r="B288" s="115"/>
      <c r="D288" s="119"/>
      <c r="E288" s="96" t="str">
        <f t="shared" si="16"/>
        <v xml:space="preserve"> </v>
      </c>
      <c r="F288" s="96" t="str">
        <f t="shared" si="16"/>
        <v xml:space="preserve"> </v>
      </c>
    </row>
    <row r="289" spans="2:6" x14ac:dyDescent="0.35">
      <c r="B289" s="115"/>
      <c r="D289" s="119"/>
      <c r="E289" s="96" t="str">
        <f t="shared" si="16"/>
        <v xml:space="preserve"> </v>
      </c>
      <c r="F289" s="96" t="str">
        <f t="shared" si="16"/>
        <v xml:space="preserve"> </v>
      </c>
    </row>
    <row r="290" spans="2:6" x14ac:dyDescent="0.35">
      <c r="B290" s="115"/>
      <c r="D290" s="119"/>
      <c r="E290" s="96" t="str">
        <f t="shared" si="16"/>
        <v xml:space="preserve"> </v>
      </c>
      <c r="F290" s="96" t="str">
        <f t="shared" si="16"/>
        <v xml:space="preserve"> </v>
      </c>
    </row>
    <row r="291" spans="2:6" x14ac:dyDescent="0.35">
      <c r="B291" s="115"/>
      <c r="D291" s="119"/>
      <c r="E291" s="96" t="str">
        <f t="shared" si="16"/>
        <v xml:space="preserve"> </v>
      </c>
      <c r="F291" s="96" t="str">
        <f t="shared" si="16"/>
        <v xml:space="preserve"> </v>
      </c>
    </row>
    <row r="292" spans="2:6" x14ac:dyDescent="0.35">
      <c r="B292" s="115"/>
      <c r="D292" s="119"/>
      <c r="E292" s="96" t="str">
        <f t="shared" si="16"/>
        <v xml:space="preserve"> </v>
      </c>
      <c r="F292" s="96" t="str">
        <f t="shared" si="16"/>
        <v xml:space="preserve"> </v>
      </c>
    </row>
    <row r="293" spans="2:6" x14ac:dyDescent="0.35">
      <c r="B293" s="115"/>
      <c r="D293" s="119"/>
      <c r="E293" s="96" t="str">
        <f t="shared" si="16"/>
        <v xml:space="preserve"> </v>
      </c>
      <c r="F293" s="96" t="str">
        <f t="shared" si="16"/>
        <v xml:space="preserve"> </v>
      </c>
    </row>
    <row r="294" spans="2:6" x14ac:dyDescent="0.35">
      <c r="B294" s="115"/>
      <c r="D294" s="119"/>
      <c r="E294" s="96" t="str">
        <f t="shared" si="16"/>
        <v xml:space="preserve"> </v>
      </c>
      <c r="F294" s="96" t="str">
        <f t="shared" si="16"/>
        <v xml:space="preserve"> </v>
      </c>
    </row>
    <row r="295" spans="2:6" x14ac:dyDescent="0.35">
      <c r="B295" s="115"/>
      <c r="D295" s="119"/>
      <c r="E295" s="96" t="str">
        <f t="shared" si="16"/>
        <v xml:space="preserve"> </v>
      </c>
      <c r="F295" s="96" t="str">
        <f t="shared" si="16"/>
        <v xml:space="preserve"> </v>
      </c>
    </row>
    <row r="296" spans="2:6" x14ac:dyDescent="0.35">
      <c r="B296" s="115"/>
      <c r="D296" s="119"/>
      <c r="E296" s="96" t="str">
        <f t="shared" si="16"/>
        <v xml:space="preserve"> </v>
      </c>
      <c r="F296" s="96" t="str">
        <f t="shared" si="16"/>
        <v xml:space="preserve"> </v>
      </c>
    </row>
    <row r="297" spans="2:6" x14ac:dyDescent="0.35">
      <c r="B297" s="115"/>
      <c r="D297" s="119"/>
      <c r="E297" s="96" t="str">
        <f t="shared" si="16"/>
        <v xml:space="preserve"> </v>
      </c>
      <c r="F297" s="96" t="str">
        <f t="shared" si="16"/>
        <v xml:space="preserve"> </v>
      </c>
    </row>
    <row r="298" spans="2:6" x14ac:dyDescent="0.35">
      <c r="B298" s="115"/>
      <c r="D298" s="119"/>
      <c r="E298" s="96" t="str">
        <f t="shared" si="16"/>
        <v xml:space="preserve"> </v>
      </c>
      <c r="F298" s="96" t="str">
        <f t="shared" si="16"/>
        <v xml:space="preserve"> </v>
      </c>
    </row>
    <row r="299" spans="2:6" x14ac:dyDescent="0.35">
      <c r="B299" s="115"/>
      <c r="D299" s="119"/>
      <c r="E299" s="96" t="str">
        <f t="shared" si="16"/>
        <v xml:space="preserve"> </v>
      </c>
      <c r="F299" s="96" t="str">
        <f t="shared" si="16"/>
        <v xml:space="preserve"> </v>
      </c>
    </row>
    <row r="300" spans="2:6" x14ac:dyDescent="0.35">
      <c r="B300" s="115"/>
      <c r="D300" s="119"/>
      <c r="E300" s="96" t="str">
        <f t="shared" si="16"/>
        <v xml:space="preserve"> </v>
      </c>
      <c r="F300" s="96" t="str">
        <f t="shared" si="16"/>
        <v xml:space="preserve"> </v>
      </c>
    </row>
    <row r="301" spans="2:6" x14ac:dyDescent="0.35">
      <c r="B301" s="115"/>
      <c r="D301" s="119"/>
      <c r="E301" s="96" t="str">
        <f t="shared" si="16"/>
        <v xml:space="preserve"> </v>
      </c>
      <c r="F301" s="96" t="str">
        <f t="shared" si="16"/>
        <v xml:space="preserve"> </v>
      </c>
    </row>
    <row r="302" spans="2:6" x14ac:dyDescent="0.35">
      <c r="B302" s="115"/>
      <c r="D302" s="119"/>
      <c r="E302" s="96" t="str">
        <f t="shared" si="16"/>
        <v xml:space="preserve"> </v>
      </c>
      <c r="F302" s="96" t="str">
        <f t="shared" si="16"/>
        <v xml:space="preserve"> </v>
      </c>
    </row>
    <row r="303" spans="2:6" x14ac:dyDescent="0.35">
      <c r="B303" s="115"/>
      <c r="D303" s="119"/>
      <c r="E303" s="96" t="str">
        <f t="shared" si="16"/>
        <v xml:space="preserve"> </v>
      </c>
      <c r="F303" s="96" t="str">
        <f t="shared" si="16"/>
        <v xml:space="preserve"> </v>
      </c>
    </row>
    <row r="304" spans="2:6" x14ac:dyDescent="0.35">
      <c r="B304" s="115"/>
      <c r="D304" s="119"/>
      <c r="E304" s="96" t="str">
        <f t="shared" si="16"/>
        <v xml:space="preserve"> </v>
      </c>
      <c r="F304" s="96" t="str">
        <f t="shared" si="16"/>
        <v xml:space="preserve"> </v>
      </c>
    </row>
    <row r="305" spans="2:6" x14ac:dyDescent="0.35">
      <c r="B305" s="115"/>
      <c r="D305" s="119"/>
      <c r="E305" s="96" t="str">
        <f t="shared" si="16"/>
        <v xml:space="preserve"> </v>
      </c>
      <c r="F305" s="96" t="str">
        <f t="shared" si="16"/>
        <v xml:space="preserve"> </v>
      </c>
    </row>
    <row r="306" spans="2:6" x14ac:dyDescent="0.35">
      <c r="B306" s="115"/>
      <c r="D306" s="119"/>
      <c r="E306" s="96" t="str">
        <f t="shared" si="16"/>
        <v xml:space="preserve"> </v>
      </c>
      <c r="F306" s="96" t="str">
        <f t="shared" si="16"/>
        <v xml:space="preserve"> </v>
      </c>
    </row>
    <row r="307" spans="2:6" x14ac:dyDescent="0.35">
      <c r="B307" s="115"/>
      <c r="D307" s="119"/>
      <c r="E307" s="96" t="str">
        <f t="shared" si="16"/>
        <v xml:space="preserve"> </v>
      </c>
      <c r="F307" s="96" t="str">
        <f t="shared" si="16"/>
        <v xml:space="preserve"> </v>
      </c>
    </row>
    <row r="308" spans="2:6" x14ac:dyDescent="0.35">
      <c r="B308" s="115"/>
      <c r="D308" s="119"/>
      <c r="E308" s="96" t="str">
        <f t="shared" si="16"/>
        <v xml:space="preserve"> </v>
      </c>
      <c r="F308" s="96" t="str">
        <f t="shared" si="16"/>
        <v xml:space="preserve"> </v>
      </c>
    </row>
    <row r="309" spans="2:6" x14ac:dyDescent="0.35">
      <c r="B309" s="115"/>
      <c r="D309" s="119"/>
      <c r="E309" s="96" t="str">
        <f t="shared" si="16"/>
        <v xml:space="preserve"> </v>
      </c>
      <c r="F309" s="96" t="str">
        <f t="shared" si="16"/>
        <v xml:space="preserve"> </v>
      </c>
    </row>
    <row r="310" spans="2:6" x14ac:dyDescent="0.35">
      <c r="B310" s="115"/>
      <c r="D310" s="119"/>
      <c r="E310" s="96" t="str">
        <f t="shared" si="16"/>
        <v xml:space="preserve"> </v>
      </c>
      <c r="F310" s="96" t="str">
        <f t="shared" si="16"/>
        <v xml:space="preserve"> </v>
      </c>
    </row>
    <row r="311" spans="2:6" x14ac:dyDescent="0.35">
      <c r="B311" s="115"/>
      <c r="D311" s="119"/>
      <c r="E311" s="96" t="str">
        <f t="shared" si="16"/>
        <v xml:space="preserve"> </v>
      </c>
      <c r="F311" s="96" t="str">
        <f t="shared" si="16"/>
        <v xml:space="preserve"> </v>
      </c>
    </row>
    <row r="312" spans="2:6" x14ac:dyDescent="0.35">
      <c r="B312" s="115"/>
      <c r="D312" s="119"/>
      <c r="E312" s="96" t="str">
        <f t="shared" si="16"/>
        <v xml:space="preserve"> </v>
      </c>
      <c r="F312" s="96" t="str">
        <f t="shared" si="16"/>
        <v xml:space="preserve"> </v>
      </c>
    </row>
    <row r="313" spans="2:6" x14ac:dyDescent="0.35">
      <c r="B313" s="115"/>
      <c r="D313" s="119"/>
      <c r="E313" s="96" t="str">
        <f t="shared" si="16"/>
        <v xml:space="preserve"> </v>
      </c>
      <c r="F313" s="96" t="str">
        <f t="shared" si="16"/>
        <v xml:space="preserve"> </v>
      </c>
    </row>
    <row r="314" spans="2:6" x14ac:dyDescent="0.35">
      <c r="B314" s="115"/>
      <c r="D314" s="119"/>
      <c r="E314" s="96" t="str">
        <f t="shared" si="16"/>
        <v xml:space="preserve"> </v>
      </c>
      <c r="F314" s="96" t="str">
        <f t="shared" si="16"/>
        <v xml:space="preserve"> </v>
      </c>
    </row>
    <row r="315" spans="2:6" x14ac:dyDescent="0.35">
      <c r="B315" s="115"/>
      <c r="D315" s="119"/>
      <c r="E315" s="96" t="str">
        <f t="shared" si="16"/>
        <v xml:space="preserve"> </v>
      </c>
      <c r="F315" s="96" t="str">
        <f t="shared" si="16"/>
        <v xml:space="preserve"> </v>
      </c>
    </row>
    <row r="316" spans="2:6" x14ac:dyDescent="0.35">
      <c r="B316" s="115"/>
      <c r="D316" s="119"/>
      <c r="E316" s="96" t="str">
        <f t="shared" si="16"/>
        <v xml:space="preserve"> </v>
      </c>
      <c r="F316" s="96" t="str">
        <f t="shared" si="16"/>
        <v xml:space="preserve"> </v>
      </c>
    </row>
    <row r="317" spans="2:6" x14ac:dyDescent="0.35">
      <c r="B317" s="115"/>
      <c r="D317" s="119"/>
      <c r="E317" s="96" t="str">
        <f t="shared" si="16"/>
        <v xml:space="preserve"> </v>
      </c>
      <c r="F317" s="96" t="str">
        <f t="shared" si="16"/>
        <v xml:space="preserve"> </v>
      </c>
    </row>
    <row r="318" spans="2:6" x14ac:dyDescent="0.35">
      <c r="B318" s="115"/>
      <c r="D318" s="119"/>
      <c r="E318" s="96" t="str">
        <f t="shared" si="16"/>
        <v xml:space="preserve"> </v>
      </c>
      <c r="F318" s="96" t="str">
        <f t="shared" si="16"/>
        <v xml:space="preserve"> </v>
      </c>
    </row>
    <row r="319" spans="2:6" x14ac:dyDescent="0.35">
      <c r="B319" s="115"/>
      <c r="D319" s="119"/>
      <c r="E319" s="96" t="str">
        <f t="shared" si="16"/>
        <v xml:space="preserve"> </v>
      </c>
      <c r="F319" s="96" t="str">
        <f t="shared" si="16"/>
        <v xml:space="preserve"> </v>
      </c>
    </row>
    <row r="320" spans="2:6" x14ac:dyDescent="0.35">
      <c r="B320" s="115"/>
      <c r="D320" s="119"/>
      <c r="E320" s="96" t="str">
        <f t="shared" si="16"/>
        <v xml:space="preserve"> </v>
      </c>
      <c r="F320" s="96" t="str">
        <f t="shared" si="16"/>
        <v xml:space="preserve"> </v>
      </c>
    </row>
    <row r="321" spans="2:6" x14ac:dyDescent="0.35">
      <c r="B321" s="115"/>
      <c r="D321" s="119"/>
      <c r="E321" s="96" t="str">
        <f t="shared" si="16"/>
        <v xml:space="preserve"> </v>
      </c>
      <c r="F321" s="96" t="str">
        <f t="shared" si="16"/>
        <v xml:space="preserve"> </v>
      </c>
    </row>
    <row r="322" spans="2:6" x14ac:dyDescent="0.35">
      <c r="B322" s="115"/>
      <c r="D322" s="119"/>
      <c r="E322" s="96" t="str">
        <f t="shared" si="16"/>
        <v xml:space="preserve"> </v>
      </c>
      <c r="F322" s="96" t="str">
        <f t="shared" si="16"/>
        <v xml:space="preserve"> </v>
      </c>
    </row>
    <row r="323" spans="2:6" x14ac:dyDescent="0.35">
      <c r="B323" s="115"/>
      <c r="D323" s="119"/>
      <c r="E323" s="96" t="str">
        <f t="shared" si="16"/>
        <v xml:space="preserve"> </v>
      </c>
      <c r="F323" s="96" t="str">
        <f t="shared" si="16"/>
        <v xml:space="preserve"> </v>
      </c>
    </row>
    <row r="324" spans="2:6" x14ac:dyDescent="0.35">
      <c r="B324" s="115"/>
      <c r="D324" s="119"/>
      <c r="E324" s="96" t="str">
        <f t="shared" si="16"/>
        <v xml:space="preserve"> </v>
      </c>
      <c r="F324" s="96" t="str">
        <f t="shared" si="16"/>
        <v xml:space="preserve"> </v>
      </c>
    </row>
    <row r="325" spans="2:6" x14ac:dyDescent="0.35">
      <c r="B325" s="115"/>
      <c r="D325" s="119"/>
      <c r="E325" s="96" t="str">
        <f t="shared" si="16"/>
        <v xml:space="preserve"> </v>
      </c>
      <c r="F325" s="96" t="str">
        <f t="shared" si="16"/>
        <v xml:space="preserve"> </v>
      </c>
    </row>
    <row r="326" spans="2:6" x14ac:dyDescent="0.35">
      <c r="B326" s="115"/>
      <c r="D326" s="119"/>
      <c r="E326" s="96" t="str">
        <f t="shared" si="16"/>
        <v xml:space="preserve"> </v>
      </c>
      <c r="F326" s="96" t="str">
        <f t="shared" si="16"/>
        <v xml:space="preserve"> </v>
      </c>
    </row>
    <row r="327" spans="2:6" x14ac:dyDescent="0.35">
      <c r="B327" s="115"/>
      <c r="D327" s="119"/>
      <c r="E327" s="96" t="str">
        <f t="shared" si="16"/>
        <v xml:space="preserve"> </v>
      </c>
      <c r="F327" s="96" t="str">
        <f t="shared" si="16"/>
        <v xml:space="preserve"> </v>
      </c>
    </row>
    <row r="328" spans="2:6" x14ac:dyDescent="0.35">
      <c r="B328" s="115"/>
      <c r="D328" s="119"/>
      <c r="E328" s="96" t="str">
        <f t="shared" si="16"/>
        <v xml:space="preserve"> </v>
      </c>
      <c r="F328" s="96" t="str">
        <f t="shared" si="16"/>
        <v xml:space="preserve"> </v>
      </c>
    </row>
    <row r="329" spans="2:6" x14ac:dyDescent="0.35">
      <c r="B329" s="115"/>
      <c r="D329" s="119"/>
      <c r="E329" s="96" t="str">
        <f t="shared" si="16"/>
        <v xml:space="preserve"> </v>
      </c>
      <c r="F329" s="96" t="str">
        <f t="shared" si="16"/>
        <v xml:space="preserve"> </v>
      </c>
    </row>
    <row r="330" spans="2:6" x14ac:dyDescent="0.35">
      <c r="B330" s="115"/>
      <c r="D330" s="119"/>
      <c r="E330" s="96" t="str">
        <f t="shared" si="16"/>
        <v xml:space="preserve"> </v>
      </c>
      <c r="F330" s="96" t="str">
        <f t="shared" si="16"/>
        <v xml:space="preserve"> </v>
      </c>
    </row>
    <row r="331" spans="2:6" x14ac:dyDescent="0.35">
      <c r="D331" s="119"/>
      <c r="E331" s="96" t="str">
        <f t="shared" si="16"/>
        <v xml:space="preserve"> </v>
      </c>
      <c r="F331" s="96" t="str">
        <f t="shared" si="16"/>
        <v xml:space="preserve"> </v>
      </c>
    </row>
    <row r="332" spans="2:6" x14ac:dyDescent="0.35">
      <c r="D332" s="119"/>
      <c r="E332" s="96" t="str">
        <f t="shared" si="16"/>
        <v xml:space="preserve"> </v>
      </c>
      <c r="F332" s="96" t="str">
        <f t="shared" si="16"/>
        <v xml:space="preserve"> </v>
      </c>
    </row>
    <row r="333" spans="2:6" x14ac:dyDescent="0.35">
      <c r="D333" s="119"/>
      <c r="E333" s="96" t="str">
        <f t="shared" si="16"/>
        <v xml:space="preserve"> </v>
      </c>
      <c r="F333" s="96" t="str">
        <f t="shared" si="16"/>
        <v xml:space="preserve"> </v>
      </c>
    </row>
    <row r="334" spans="2:6" x14ac:dyDescent="0.35">
      <c r="D334" s="119"/>
      <c r="E334" s="96" t="str">
        <f t="shared" si="16"/>
        <v xml:space="preserve"> </v>
      </c>
      <c r="F334" s="96" t="str">
        <f t="shared" si="16"/>
        <v xml:space="preserve"> </v>
      </c>
    </row>
    <row r="335" spans="2:6" x14ac:dyDescent="0.35">
      <c r="D335" s="119"/>
      <c r="E335" s="96" t="str">
        <f t="shared" si="16"/>
        <v xml:space="preserve"> </v>
      </c>
      <c r="F335" s="96" t="str">
        <f t="shared" si="16"/>
        <v xml:space="preserve"> </v>
      </c>
    </row>
    <row r="336" spans="2:6" x14ac:dyDescent="0.35">
      <c r="D336" s="119"/>
      <c r="E336" s="96" t="str">
        <f t="shared" si="16"/>
        <v xml:space="preserve"> </v>
      </c>
      <c r="F336" s="96" t="str">
        <f t="shared" si="16"/>
        <v xml:space="preserve"> </v>
      </c>
    </row>
    <row r="337" spans="4:6" x14ac:dyDescent="0.35">
      <c r="D337" s="119"/>
      <c r="E337" s="96" t="str">
        <f t="shared" si="16"/>
        <v xml:space="preserve"> </v>
      </c>
      <c r="F337" s="96" t="str">
        <f t="shared" si="16"/>
        <v xml:space="preserve"> </v>
      </c>
    </row>
    <row r="338" spans="4:6" x14ac:dyDescent="0.35">
      <c r="D338" s="119"/>
      <c r="E338" s="96" t="str">
        <f t="shared" si="16"/>
        <v xml:space="preserve"> </v>
      </c>
      <c r="F338" s="96" t="str">
        <f t="shared" si="16"/>
        <v xml:space="preserve"> </v>
      </c>
    </row>
    <row r="339" spans="4:6" x14ac:dyDescent="0.35">
      <c r="D339" s="119"/>
      <c r="E339" s="96" t="str">
        <f t="shared" si="16"/>
        <v xml:space="preserve"> </v>
      </c>
      <c r="F339" s="96" t="str">
        <f t="shared" si="16"/>
        <v xml:space="preserve"> </v>
      </c>
    </row>
    <row r="340" spans="4:6" x14ac:dyDescent="0.35">
      <c r="D340" s="119"/>
      <c r="E340" s="96" t="str">
        <f t="shared" si="16"/>
        <v xml:space="preserve"> </v>
      </c>
      <c r="F340" s="96" t="str">
        <f t="shared" si="16"/>
        <v xml:space="preserve"> </v>
      </c>
    </row>
    <row r="341" spans="4:6" x14ac:dyDescent="0.35">
      <c r="D341" s="119"/>
      <c r="E341" s="96" t="str">
        <f t="shared" si="16"/>
        <v xml:space="preserve"> </v>
      </c>
      <c r="F341" s="96" t="str">
        <f t="shared" si="16"/>
        <v xml:space="preserve"> </v>
      </c>
    </row>
    <row r="342" spans="4:6" x14ac:dyDescent="0.35">
      <c r="D342" s="119"/>
      <c r="E342" s="96" t="str">
        <f t="shared" si="16"/>
        <v xml:space="preserve"> </v>
      </c>
      <c r="F342" s="96" t="str">
        <f t="shared" si="16"/>
        <v xml:space="preserve"> </v>
      </c>
    </row>
    <row r="343" spans="4:6" x14ac:dyDescent="0.35">
      <c r="D343" s="119"/>
      <c r="E343" s="96" t="str">
        <f t="shared" ref="E343:F406" si="17">IF((IFERROR(C343/C342-1," "))=-1," ",IFERROR(C343/C342-1," "))</f>
        <v xml:space="preserve"> </v>
      </c>
      <c r="F343" s="96" t="str">
        <f t="shared" si="17"/>
        <v xml:space="preserve"> </v>
      </c>
    </row>
    <row r="344" spans="4:6" x14ac:dyDescent="0.35">
      <c r="D344" s="119"/>
      <c r="E344" s="96" t="str">
        <f t="shared" si="17"/>
        <v xml:space="preserve"> </v>
      </c>
      <c r="F344" s="96" t="str">
        <f t="shared" si="17"/>
        <v xml:space="preserve"> </v>
      </c>
    </row>
    <row r="345" spans="4:6" x14ac:dyDescent="0.35">
      <c r="D345" s="119"/>
      <c r="E345" s="96" t="str">
        <f t="shared" si="17"/>
        <v xml:space="preserve"> </v>
      </c>
      <c r="F345" s="96" t="str">
        <f t="shared" si="17"/>
        <v xml:space="preserve"> </v>
      </c>
    </row>
    <row r="346" spans="4:6" x14ac:dyDescent="0.35">
      <c r="D346" s="119"/>
      <c r="E346" s="96" t="str">
        <f t="shared" si="17"/>
        <v xml:space="preserve"> </v>
      </c>
      <c r="F346" s="96" t="str">
        <f t="shared" si="17"/>
        <v xml:space="preserve"> </v>
      </c>
    </row>
    <row r="347" spans="4:6" x14ac:dyDescent="0.35">
      <c r="D347" s="119"/>
      <c r="E347" s="96" t="str">
        <f t="shared" si="17"/>
        <v xml:space="preserve"> </v>
      </c>
      <c r="F347" s="96" t="str">
        <f t="shared" si="17"/>
        <v xml:space="preserve"> </v>
      </c>
    </row>
    <row r="348" spans="4:6" x14ac:dyDescent="0.35">
      <c r="D348" s="119"/>
      <c r="E348" s="96" t="str">
        <f t="shared" si="17"/>
        <v xml:space="preserve"> </v>
      </c>
      <c r="F348" s="96" t="str">
        <f t="shared" si="17"/>
        <v xml:space="preserve"> </v>
      </c>
    </row>
    <row r="349" spans="4:6" x14ac:dyDescent="0.35">
      <c r="D349" s="119"/>
      <c r="E349" s="96" t="str">
        <f t="shared" si="17"/>
        <v xml:space="preserve"> </v>
      </c>
      <c r="F349" s="96" t="str">
        <f t="shared" si="17"/>
        <v xml:space="preserve"> </v>
      </c>
    </row>
    <row r="350" spans="4:6" x14ac:dyDescent="0.35">
      <c r="D350" s="119"/>
      <c r="E350" s="96" t="str">
        <f t="shared" si="17"/>
        <v xml:space="preserve"> </v>
      </c>
      <c r="F350" s="96" t="str">
        <f t="shared" si="17"/>
        <v xml:space="preserve"> </v>
      </c>
    </row>
    <row r="351" spans="4:6" x14ac:dyDescent="0.35">
      <c r="D351" s="119"/>
      <c r="E351" s="96" t="str">
        <f t="shared" si="17"/>
        <v xml:space="preserve"> </v>
      </c>
      <c r="F351" s="96" t="str">
        <f t="shared" si="17"/>
        <v xml:space="preserve"> </v>
      </c>
    </row>
    <row r="352" spans="4:6" x14ac:dyDescent="0.35">
      <c r="D352" s="119"/>
      <c r="E352" s="96" t="str">
        <f t="shared" si="17"/>
        <v xml:space="preserve"> </v>
      </c>
      <c r="F352" s="96" t="str">
        <f t="shared" si="17"/>
        <v xml:space="preserve"> </v>
      </c>
    </row>
    <row r="353" spans="4:6" x14ac:dyDescent="0.35">
      <c r="D353" s="119"/>
      <c r="E353" s="96" t="str">
        <f t="shared" si="17"/>
        <v xml:space="preserve"> </v>
      </c>
      <c r="F353" s="96" t="str">
        <f t="shared" si="17"/>
        <v xml:space="preserve"> </v>
      </c>
    </row>
    <row r="354" spans="4:6" x14ac:dyDescent="0.35">
      <c r="D354" s="119"/>
      <c r="E354" s="96" t="str">
        <f t="shared" si="17"/>
        <v xml:space="preserve"> </v>
      </c>
      <c r="F354" s="96" t="str">
        <f t="shared" si="17"/>
        <v xml:space="preserve"> </v>
      </c>
    </row>
    <row r="355" spans="4:6" x14ac:dyDescent="0.35">
      <c r="D355" s="119"/>
      <c r="E355" s="96" t="str">
        <f t="shared" si="17"/>
        <v xml:space="preserve"> </v>
      </c>
      <c r="F355" s="96" t="str">
        <f t="shared" si="17"/>
        <v xml:space="preserve"> </v>
      </c>
    </row>
    <row r="356" spans="4:6" x14ac:dyDescent="0.35">
      <c r="D356" s="119"/>
      <c r="E356" s="96" t="str">
        <f t="shared" si="17"/>
        <v xml:space="preserve"> </v>
      </c>
      <c r="F356" s="96" t="str">
        <f t="shared" si="17"/>
        <v xml:space="preserve"> </v>
      </c>
    </row>
    <row r="357" spans="4:6" x14ac:dyDescent="0.35">
      <c r="D357" s="119"/>
      <c r="E357" s="96" t="str">
        <f t="shared" si="17"/>
        <v xml:space="preserve"> </v>
      </c>
      <c r="F357" s="96" t="str">
        <f t="shared" si="17"/>
        <v xml:space="preserve"> </v>
      </c>
    </row>
    <row r="358" spans="4:6" x14ac:dyDescent="0.35">
      <c r="D358" s="119"/>
      <c r="E358" s="96" t="str">
        <f t="shared" si="17"/>
        <v xml:space="preserve"> </v>
      </c>
      <c r="F358" s="96" t="str">
        <f t="shared" si="17"/>
        <v xml:space="preserve"> </v>
      </c>
    </row>
    <row r="359" spans="4:6" x14ac:dyDescent="0.35">
      <c r="D359" s="119"/>
      <c r="E359" s="96" t="str">
        <f t="shared" si="17"/>
        <v xml:space="preserve"> </v>
      </c>
      <c r="F359" s="96" t="str">
        <f t="shared" si="17"/>
        <v xml:space="preserve"> </v>
      </c>
    </row>
    <row r="360" spans="4:6" x14ac:dyDescent="0.35">
      <c r="D360" s="119"/>
      <c r="E360" s="96" t="str">
        <f t="shared" si="17"/>
        <v xml:space="preserve"> </v>
      </c>
      <c r="F360" s="96" t="str">
        <f t="shared" si="17"/>
        <v xml:space="preserve"> </v>
      </c>
    </row>
    <row r="361" spans="4:6" x14ac:dyDescent="0.35">
      <c r="D361" s="119"/>
      <c r="E361" s="96" t="str">
        <f t="shared" si="17"/>
        <v xml:space="preserve"> </v>
      </c>
      <c r="F361" s="96" t="str">
        <f t="shared" si="17"/>
        <v xml:space="preserve"> </v>
      </c>
    </row>
    <row r="362" spans="4:6" x14ac:dyDescent="0.35">
      <c r="D362" s="119"/>
      <c r="E362" s="96" t="str">
        <f t="shared" si="17"/>
        <v xml:space="preserve"> </v>
      </c>
      <c r="F362" s="96" t="str">
        <f t="shared" si="17"/>
        <v xml:space="preserve"> </v>
      </c>
    </row>
    <row r="363" spans="4:6" x14ac:dyDescent="0.35">
      <c r="D363" s="119"/>
      <c r="E363" s="96" t="str">
        <f t="shared" si="17"/>
        <v xml:space="preserve"> </v>
      </c>
      <c r="F363" s="96" t="str">
        <f t="shared" si="17"/>
        <v xml:space="preserve"> </v>
      </c>
    </row>
    <row r="364" spans="4:6" x14ac:dyDescent="0.35">
      <c r="D364" s="119"/>
      <c r="E364" s="96" t="str">
        <f t="shared" si="17"/>
        <v xml:space="preserve"> </v>
      </c>
      <c r="F364" s="96" t="str">
        <f t="shared" si="17"/>
        <v xml:space="preserve"> </v>
      </c>
    </row>
    <row r="365" spans="4:6" x14ac:dyDescent="0.35">
      <c r="D365" s="119"/>
      <c r="E365" s="96" t="str">
        <f t="shared" si="17"/>
        <v xml:space="preserve"> </v>
      </c>
      <c r="F365" s="96" t="str">
        <f t="shared" si="17"/>
        <v xml:space="preserve"> </v>
      </c>
    </row>
    <row r="366" spans="4:6" x14ac:dyDescent="0.35">
      <c r="D366" s="119"/>
      <c r="E366" s="96" t="str">
        <f t="shared" si="17"/>
        <v xml:space="preserve"> </v>
      </c>
      <c r="F366" s="96" t="str">
        <f t="shared" si="17"/>
        <v xml:space="preserve"> </v>
      </c>
    </row>
    <row r="367" spans="4:6" x14ac:dyDescent="0.35">
      <c r="D367" s="119"/>
      <c r="E367" s="96" t="str">
        <f t="shared" si="17"/>
        <v xml:space="preserve"> </v>
      </c>
      <c r="F367" s="96" t="str">
        <f t="shared" si="17"/>
        <v xml:space="preserve"> </v>
      </c>
    </row>
    <row r="368" spans="4:6" x14ac:dyDescent="0.35">
      <c r="D368" s="119"/>
      <c r="E368" s="96" t="str">
        <f t="shared" si="17"/>
        <v xml:space="preserve"> </v>
      </c>
      <c r="F368" s="96" t="str">
        <f t="shared" si="17"/>
        <v xml:space="preserve"> </v>
      </c>
    </row>
    <row r="369" spans="4:6" x14ac:dyDescent="0.35">
      <c r="D369" s="119"/>
      <c r="E369" s="96" t="str">
        <f t="shared" si="17"/>
        <v xml:space="preserve"> </v>
      </c>
      <c r="F369" s="96" t="str">
        <f t="shared" si="17"/>
        <v xml:space="preserve"> </v>
      </c>
    </row>
    <row r="370" spans="4:6" x14ac:dyDescent="0.35">
      <c r="D370" s="119"/>
      <c r="E370" s="96" t="str">
        <f t="shared" si="17"/>
        <v xml:space="preserve"> </v>
      </c>
      <c r="F370" s="96" t="str">
        <f t="shared" si="17"/>
        <v xml:space="preserve"> </v>
      </c>
    </row>
    <row r="371" spans="4:6" x14ac:dyDescent="0.35">
      <c r="D371" s="119"/>
      <c r="E371" s="96" t="str">
        <f t="shared" si="17"/>
        <v xml:space="preserve"> </v>
      </c>
      <c r="F371" s="96" t="str">
        <f t="shared" si="17"/>
        <v xml:space="preserve"> </v>
      </c>
    </row>
    <row r="372" spans="4:6" x14ac:dyDescent="0.35">
      <c r="D372" s="119"/>
      <c r="E372" s="96" t="str">
        <f t="shared" si="17"/>
        <v xml:space="preserve"> </v>
      </c>
      <c r="F372" s="96" t="str">
        <f t="shared" si="17"/>
        <v xml:space="preserve"> </v>
      </c>
    </row>
    <row r="373" spans="4:6" x14ac:dyDescent="0.35">
      <c r="D373" s="119"/>
      <c r="E373" s="96" t="str">
        <f t="shared" si="17"/>
        <v xml:space="preserve"> </v>
      </c>
      <c r="F373" s="96" t="str">
        <f t="shared" si="17"/>
        <v xml:space="preserve"> </v>
      </c>
    </row>
    <row r="374" spans="4:6" x14ac:dyDescent="0.35">
      <c r="D374" s="119"/>
      <c r="E374" s="96" t="str">
        <f t="shared" si="17"/>
        <v xml:space="preserve"> </v>
      </c>
      <c r="F374" s="96" t="str">
        <f t="shared" si="17"/>
        <v xml:space="preserve"> </v>
      </c>
    </row>
    <row r="375" spans="4:6" x14ac:dyDescent="0.35">
      <c r="D375" s="119"/>
      <c r="E375" s="96" t="str">
        <f t="shared" si="17"/>
        <v xml:space="preserve"> </v>
      </c>
      <c r="F375" s="96" t="str">
        <f t="shared" si="17"/>
        <v xml:space="preserve"> </v>
      </c>
    </row>
    <row r="376" spans="4:6" x14ac:dyDescent="0.35">
      <c r="D376" s="119"/>
      <c r="E376" s="96" t="str">
        <f t="shared" si="17"/>
        <v xml:space="preserve"> </v>
      </c>
      <c r="F376" s="96" t="str">
        <f t="shared" si="17"/>
        <v xml:space="preserve"> </v>
      </c>
    </row>
    <row r="377" spans="4:6" x14ac:dyDescent="0.35">
      <c r="D377" s="119"/>
      <c r="E377" s="96" t="str">
        <f t="shared" si="17"/>
        <v xml:space="preserve"> </v>
      </c>
      <c r="F377" s="96" t="str">
        <f t="shared" si="17"/>
        <v xml:space="preserve"> </v>
      </c>
    </row>
    <row r="378" spans="4:6" x14ac:dyDescent="0.35">
      <c r="D378" s="119"/>
      <c r="E378" s="96" t="str">
        <f t="shared" si="17"/>
        <v xml:space="preserve"> </v>
      </c>
      <c r="F378" s="96" t="str">
        <f t="shared" si="17"/>
        <v xml:space="preserve"> </v>
      </c>
    </row>
    <row r="379" spans="4:6" x14ac:dyDescent="0.35">
      <c r="D379" s="119"/>
      <c r="E379" s="96" t="str">
        <f t="shared" si="17"/>
        <v xml:space="preserve"> </v>
      </c>
      <c r="F379" s="96" t="str">
        <f t="shared" si="17"/>
        <v xml:space="preserve"> </v>
      </c>
    </row>
    <row r="380" spans="4:6" x14ac:dyDescent="0.35">
      <c r="D380" s="119"/>
      <c r="E380" s="96" t="str">
        <f t="shared" si="17"/>
        <v xml:space="preserve"> </v>
      </c>
      <c r="F380" s="96" t="str">
        <f t="shared" si="17"/>
        <v xml:space="preserve"> </v>
      </c>
    </row>
    <row r="381" spans="4:6" x14ac:dyDescent="0.35">
      <c r="D381" s="119"/>
      <c r="E381" s="96" t="str">
        <f t="shared" si="17"/>
        <v xml:space="preserve"> </v>
      </c>
      <c r="F381" s="96" t="str">
        <f t="shared" si="17"/>
        <v xml:space="preserve"> </v>
      </c>
    </row>
    <row r="382" spans="4:6" x14ac:dyDescent="0.35">
      <c r="D382" s="119"/>
      <c r="E382" s="96" t="str">
        <f t="shared" si="17"/>
        <v xml:space="preserve"> </v>
      </c>
      <c r="F382" s="96" t="str">
        <f t="shared" si="17"/>
        <v xml:space="preserve"> </v>
      </c>
    </row>
    <row r="383" spans="4:6" x14ac:dyDescent="0.35">
      <c r="D383" s="119"/>
      <c r="E383" s="96" t="str">
        <f t="shared" si="17"/>
        <v xml:space="preserve"> </v>
      </c>
      <c r="F383" s="96" t="str">
        <f t="shared" si="17"/>
        <v xml:space="preserve"> </v>
      </c>
    </row>
    <row r="384" spans="4:6" x14ac:dyDescent="0.35">
      <c r="D384" s="119"/>
      <c r="E384" s="96" t="str">
        <f t="shared" si="17"/>
        <v xml:space="preserve"> </v>
      </c>
      <c r="F384" s="96" t="str">
        <f t="shared" si="17"/>
        <v xml:space="preserve"> </v>
      </c>
    </row>
    <row r="385" spans="4:6" x14ac:dyDescent="0.35">
      <c r="D385" s="119"/>
      <c r="E385" s="96" t="str">
        <f t="shared" si="17"/>
        <v xml:space="preserve"> </v>
      </c>
      <c r="F385" s="96" t="str">
        <f t="shared" si="17"/>
        <v xml:space="preserve"> </v>
      </c>
    </row>
    <row r="386" spans="4:6" x14ac:dyDescent="0.35">
      <c r="D386" s="119"/>
      <c r="E386" s="96" t="str">
        <f t="shared" si="17"/>
        <v xml:space="preserve"> </v>
      </c>
      <c r="F386" s="96" t="str">
        <f t="shared" si="17"/>
        <v xml:space="preserve"> </v>
      </c>
    </row>
    <row r="387" spans="4:6" x14ac:dyDescent="0.35">
      <c r="D387" s="119"/>
      <c r="E387" s="96" t="str">
        <f t="shared" si="17"/>
        <v xml:space="preserve"> </v>
      </c>
      <c r="F387" s="96" t="str">
        <f t="shared" si="17"/>
        <v xml:space="preserve"> </v>
      </c>
    </row>
    <row r="388" spans="4:6" x14ac:dyDescent="0.35">
      <c r="D388" s="119"/>
      <c r="E388" s="96" t="str">
        <f t="shared" si="17"/>
        <v xml:space="preserve"> </v>
      </c>
      <c r="F388" s="96" t="str">
        <f t="shared" si="17"/>
        <v xml:space="preserve"> </v>
      </c>
    </row>
    <row r="389" spans="4:6" x14ac:dyDescent="0.35">
      <c r="D389" s="119"/>
      <c r="E389" s="96" t="str">
        <f t="shared" si="17"/>
        <v xml:space="preserve"> </v>
      </c>
      <c r="F389" s="96" t="str">
        <f t="shared" si="17"/>
        <v xml:space="preserve"> </v>
      </c>
    </row>
    <row r="390" spans="4:6" x14ac:dyDescent="0.35">
      <c r="D390" s="119"/>
      <c r="E390" s="96" t="str">
        <f t="shared" si="17"/>
        <v xml:space="preserve"> </v>
      </c>
      <c r="F390" s="96" t="str">
        <f t="shared" si="17"/>
        <v xml:space="preserve"> </v>
      </c>
    </row>
    <row r="391" spans="4:6" x14ac:dyDescent="0.35">
      <c r="D391" s="119"/>
      <c r="E391" s="96" t="str">
        <f t="shared" si="17"/>
        <v xml:space="preserve"> </v>
      </c>
      <c r="F391" s="96" t="str">
        <f t="shared" si="17"/>
        <v xml:space="preserve"> </v>
      </c>
    </row>
    <row r="392" spans="4:6" x14ac:dyDescent="0.35">
      <c r="D392" s="119"/>
      <c r="E392" s="96" t="str">
        <f t="shared" si="17"/>
        <v xml:space="preserve"> </v>
      </c>
      <c r="F392" s="96" t="str">
        <f t="shared" si="17"/>
        <v xml:space="preserve"> </v>
      </c>
    </row>
    <row r="393" spans="4:6" x14ac:dyDescent="0.35">
      <c r="D393" s="119"/>
      <c r="E393" s="96" t="str">
        <f t="shared" si="17"/>
        <v xml:space="preserve"> </v>
      </c>
      <c r="F393" s="96" t="str">
        <f t="shared" si="17"/>
        <v xml:space="preserve"> </v>
      </c>
    </row>
    <row r="394" spans="4:6" x14ac:dyDescent="0.35">
      <c r="D394" s="119"/>
      <c r="E394" s="96" t="str">
        <f t="shared" si="17"/>
        <v xml:space="preserve"> </v>
      </c>
      <c r="F394" s="96" t="str">
        <f t="shared" si="17"/>
        <v xml:space="preserve"> </v>
      </c>
    </row>
    <row r="395" spans="4:6" x14ac:dyDescent="0.35">
      <c r="D395" s="119"/>
      <c r="E395" s="96" t="str">
        <f t="shared" si="17"/>
        <v xml:space="preserve"> </v>
      </c>
      <c r="F395" s="96" t="str">
        <f t="shared" si="17"/>
        <v xml:space="preserve"> </v>
      </c>
    </row>
    <row r="396" spans="4:6" x14ac:dyDescent="0.35">
      <c r="D396" s="119"/>
      <c r="E396" s="96" t="str">
        <f t="shared" si="17"/>
        <v xml:space="preserve"> </v>
      </c>
      <c r="F396" s="96" t="str">
        <f t="shared" si="17"/>
        <v xml:space="preserve"> </v>
      </c>
    </row>
    <row r="397" spans="4:6" x14ac:dyDescent="0.35">
      <c r="D397" s="119"/>
      <c r="E397" s="96" t="str">
        <f t="shared" si="17"/>
        <v xml:space="preserve"> </v>
      </c>
      <c r="F397" s="96" t="str">
        <f t="shared" si="17"/>
        <v xml:space="preserve"> </v>
      </c>
    </row>
    <row r="398" spans="4:6" x14ac:dyDescent="0.35">
      <c r="D398" s="119"/>
      <c r="E398" s="96" t="str">
        <f t="shared" si="17"/>
        <v xml:space="preserve"> </v>
      </c>
      <c r="F398" s="96" t="str">
        <f t="shared" si="17"/>
        <v xml:space="preserve"> </v>
      </c>
    </row>
    <row r="399" spans="4:6" x14ac:dyDescent="0.35">
      <c r="D399" s="119"/>
      <c r="E399" s="96" t="str">
        <f t="shared" si="17"/>
        <v xml:space="preserve"> </v>
      </c>
      <c r="F399" s="96" t="str">
        <f t="shared" si="17"/>
        <v xml:space="preserve"> </v>
      </c>
    </row>
    <row r="400" spans="4:6" x14ac:dyDescent="0.35">
      <c r="D400" s="119"/>
      <c r="E400" s="96" t="str">
        <f t="shared" si="17"/>
        <v xml:space="preserve"> </v>
      </c>
      <c r="F400" s="96" t="str">
        <f t="shared" si="17"/>
        <v xml:space="preserve"> </v>
      </c>
    </row>
    <row r="401" spans="4:6" x14ac:dyDescent="0.35">
      <c r="D401" s="119"/>
      <c r="E401" s="96" t="str">
        <f t="shared" si="17"/>
        <v xml:space="preserve"> </v>
      </c>
      <c r="F401" s="96" t="str">
        <f t="shared" si="17"/>
        <v xml:space="preserve"> </v>
      </c>
    </row>
    <row r="402" spans="4:6" x14ac:dyDescent="0.35">
      <c r="D402" s="119"/>
      <c r="E402" s="96" t="str">
        <f t="shared" si="17"/>
        <v xml:space="preserve"> </v>
      </c>
      <c r="F402" s="96" t="str">
        <f t="shared" si="17"/>
        <v xml:space="preserve"> </v>
      </c>
    </row>
    <row r="403" spans="4:6" x14ac:dyDescent="0.35">
      <c r="D403" s="119"/>
      <c r="E403" s="96" t="str">
        <f t="shared" si="17"/>
        <v xml:space="preserve"> </v>
      </c>
      <c r="F403" s="96" t="str">
        <f t="shared" si="17"/>
        <v xml:space="preserve"> </v>
      </c>
    </row>
    <row r="404" spans="4:6" x14ac:dyDescent="0.35">
      <c r="D404" s="119"/>
      <c r="E404" s="96" t="str">
        <f t="shared" si="17"/>
        <v xml:space="preserve"> </v>
      </c>
      <c r="F404" s="96" t="str">
        <f t="shared" si="17"/>
        <v xml:space="preserve"> </v>
      </c>
    </row>
    <row r="405" spans="4:6" x14ac:dyDescent="0.35">
      <c r="D405" s="119"/>
      <c r="E405" s="96" t="str">
        <f t="shared" si="17"/>
        <v xml:space="preserve"> </v>
      </c>
      <c r="F405" s="96" t="str">
        <f t="shared" si="17"/>
        <v xml:space="preserve"> </v>
      </c>
    </row>
    <row r="406" spans="4:6" x14ac:dyDescent="0.35">
      <c r="D406" s="119"/>
      <c r="E406" s="96" t="str">
        <f t="shared" si="17"/>
        <v xml:space="preserve"> </v>
      </c>
      <c r="F406" s="96" t="str">
        <f t="shared" si="17"/>
        <v xml:space="preserve"> </v>
      </c>
    </row>
    <row r="407" spans="4:6" x14ac:dyDescent="0.35">
      <c r="D407" s="119"/>
      <c r="E407" s="96" t="str">
        <f t="shared" ref="E407:F470" si="18">IF((IFERROR(C407/C406-1," "))=-1," ",IFERROR(C407/C406-1," "))</f>
        <v xml:space="preserve"> </v>
      </c>
      <c r="F407" s="96" t="str">
        <f t="shared" si="18"/>
        <v xml:space="preserve"> </v>
      </c>
    </row>
    <row r="408" spans="4:6" x14ac:dyDescent="0.35">
      <c r="D408" s="119"/>
      <c r="E408" s="96" t="str">
        <f t="shared" si="18"/>
        <v xml:space="preserve"> </v>
      </c>
      <c r="F408" s="96" t="str">
        <f t="shared" si="18"/>
        <v xml:space="preserve"> </v>
      </c>
    </row>
    <row r="409" spans="4:6" x14ac:dyDescent="0.35">
      <c r="D409" s="119"/>
      <c r="E409" s="96" t="str">
        <f t="shared" si="18"/>
        <v xml:space="preserve"> </v>
      </c>
      <c r="F409" s="96" t="str">
        <f t="shared" si="18"/>
        <v xml:space="preserve"> </v>
      </c>
    </row>
    <row r="410" spans="4:6" x14ac:dyDescent="0.35">
      <c r="D410" s="119"/>
      <c r="E410" s="96" t="str">
        <f t="shared" si="18"/>
        <v xml:space="preserve"> </v>
      </c>
      <c r="F410" s="96" t="str">
        <f t="shared" si="18"/>
        <v xml:space="preserve"> </v>
      </c>
    </row>
    <row r="411" spans="4:6" x14ac:dyDescent="0.35">
      <c r="D411" s="119"/>
      <c r="E411" s="96" t="str">
        <f t="shared" si="18"/>
        <v xml:space="preserve"> </v>
      </c>
      <c r="F411" s="96" t="str">
        <f t="shared" si="18"/>
        <v xml:space="preserve"> </v>
      </c>
    </row>
    <row r="412" spans="4:6" x14ac:dyDescent="0.35">
      <c r="D412" s="119"/>
      <c r="E412" s="96" t="str">
        <f t="shared" si="18"/>
        <v xml:space="preserve"> </v>
      </c>
      <c r="F412" s="96" t="str">
        <f t="shared" si="18"/>
        <v xml:space="preserve"> </v>
      </c>
    </row>
    <row r="413" spans="4:6" x14ac:dyDescent="0.35">
      <c r="D413" s="119"/>
      <c r="E413" s="96" t="str">
        <f t="shared" si="18"/>
        <v xml:space="preserve"> </v>
      </c>
      <c r="F413" s="96" t="str">
        <f t="shared" si="18"/>
        <v xml:space="preserve"> </v>
      </c>
    </row>
    <row r="414" spans="4:6" x14ac:dyDescent="0.35">
      <c r="D414" s="119"/>
      <c r="E414" s="96" t="str">
        <f t="shared" si="18"/>
        <v xml:space="preserve"> </v>
      </c>
      <c r="F414" s="96" t="str">
        <f t="shared" si="18"/>
        <v xml:space="preserve"> </v>
      </c>
    </row>
    <row r="415" spans="4:6" x14ac:dyDescent="0.35">
      <c r="D415" s="119"/>
      <c r="E415" s="96" t="str">
        <f t="shared" si="18"/>
        <v xml:space="preserve"> </v>
      </c>
      <c r="F415" s="96" t="str">
        <f t="shared" si="18"/>
        <v xml:space="preserve"> </v>
      </c>
    </row>
    <row r="416" spans="4:6" x14ac:dyDescent="0.35">
      <c r="D416" s="119"/>
      <c r="E416" s="96" t="str">
        <f t="shared" si="18"/>
        <v xml:space="preserve"> </v>
      </c>
      <c r="F416" s="96" t="str">
        <f t="shared" si="18"/>
        <v xml:space="preserve"> </v>
      </c>
    </row>
    <row r="417" spans="4:6" x14ac:dyDescent="0.35">
      <c r="D417" s="119"/>
      <c r="E417" s="96" t="str">
        <f t="shared" si="18"/>
        <v xml:space="preserve"> </v>
      </c>
      <c r="F417" s="96" t="str">
        <f t="shared" si="18"/>
        <v xml:space="preserve"> </v>
      </c>
    </row>
    <row r="418" spans="4:6" x14ac:dyDescent="0.35">
      <c r="D418" s="119"/>
      <c r="E418" s="96" t="str">
        <f t="shared" si="18"/>
        <v xml:space="preserve"> </v>
      </c>
      <c r="F418" s="96" t="str">
        <f t="shared" si="18"/>
        <v xml:space="preserve"> </v>
      </c>
    </row>
    <row r="419" spans="4:6" x14ac:dyDescent="0.35">
      <c r="D419" s="119"/>
      <c r="E419" s="96" t="str">
        <f t="shared" si="18"/>
        <v xml:space="preserve"> </v>
      </c>
      <c r="F419" s="96" t="str">
        <f t="shared" si="18"/>
        <v xml:space="preserve"> </v>
      </c>
    </row>
    <row r="420" spans="4:6" x14ac:dyDescent="0.35">
      <c r="D420" s="119"/>
      <c r="E420" s="96" t="str">
        <f t="shared" si="18"/>
        <v xml:space="preserve"> </v>
      </c>
      <c r="F420" s="96" t="str">
        <f t="shared" si="18"/>
        <v xml:space="preserve"> </v>
      </c>
    </row>
    <row r="421" spans="4:6" x14ac:dyDescent="0.35">
      <c r="D421" s="119"/>
      <c r="E421" s="96" t="str">
        <f t="shared" si="18"/>
        <v xml:space="preserve"> </v>
      </c>
      <c r="F421" s="96" t="str">
        <f t="shared" si="18"/>
        <v xml:space="preserve"> </v>
      </c>
    </row>
    <row r="422" spans="4:6" x14ac:dyDescent="0.35">
      <c r="D422" s="119"/>
      <c r="E422" s="96" t="str">
        <f t="shared" si="18"/>
        <v xml:space="preserve"> </v>
      </c>
      <c r="F422" s="96" t="str">
        <f t="shared" si="18"/>
        <v xml:space="preserve"> </v>
      </c>
    </row>
    <row r="423" spans="4:6" x14ac:dyDescent="0.35">
      <c r="D423" s="119"/>
      <c r="E423" s="96" t="str">
        <f t="shared" si="18"/>
        <v xml:space="preserve"> </v>
      </c>
      <c r="F423" s="96" t="str">
        <f t="shared" si="18"/>
        <v xml:space="preserve"> </v>
      </c>
    </row>
    <row r="424" spans="4:6" x14ac:dyDescent="0.35">
      <c r="D424" s="119"/>
      <c r="E424" s="96" t="str">
        <f t="shared" si="18"/>
        <v xml:space="preserve"> </v>
      </c>
      <c r="F424" s="96" t="str">
        <f t="shared" si="18"/>
        <v xml:space="preserve"> </v>
      </c>
    </row>
    <row r="425" spans="4:6" x14ac:dyDescent="0.35">
      <c r="D425" s="119"/>
      <c r="E425" s="96" t="str">
        <f t="shared" si="18"/>
        <v xml:space="preserve"> </v>
      </c>
      <c r="F425" s="96" t="str">
        <f t="shared" si="18"/>
        <v xml:space="preserve"> </v>
      </c>
    </row>
    <row r="426" spans="4:6" x14ac:dyDescent="0.35">
      <c r="D426" s="119"/>
      <c r="E426" s="96" t="str">
        <f t="shared" si="18"/>
        <v xml:space="preserve"> </v>
      </c>
      <c r="F426" s="96" t="str">
        <f t="shared" si="18"/>
        <v xml:space="preserve"> </v>
      </c>
    </row>
    <row r="427" spans="4:6" x14ac:dyDescent="0.35">
      <c r="D427" s="119"/>
      <c r="E427" s="96" t="str">
        <f t="shared" si="18"/>
        <v xml:space="preserve"> </v>
      </c>
      <c r="F427" s="96" t="str">
        <f t="shared" si="18"/>
        <v xml:space="preserve"> </v>
      </c>
    </row>
    <row r="428" spans="4:6" x14ac:dyDescent="0.35">
      <c r="D428" s="119"/>
      <c r="E428" s="96" t="str">
        <f t="shared" si="18"/>
        <v xml:space="preserve"> </v>
      </c>
      <c r="F428" s="96" t="str">
        <f t="shared" si="18"/>
        <v xml:space="preserve"> </v>
      </c>
    </row>
    <row r="429" spans="4:6" x14ac:dyDescent="0.35">
      <c r="D429" s="119"/>
      <c r="E429" s="96" t="str">
        <f t="shared" si="18"/>
        <v xml:space="preserve"> </v>
      </c>
      <c r="F429" s="96" t="str">
        <f t="shared" si="18"/>
        <v xml:space="preserve"> </v>
      </c>
    </row>
    <row r="430" spans="4:6" x14ac:dyDescent="0.35">
      <c r="D430" s="119"/>
      <c r="E430" s="96" t="str">
        <f t="shared" si="18"/>
        <v xml:space="preserve"> </v>
      </c>
      <c r="F430" s="96" t="str">
        <f t="shared" si="18"/>
        <v xml:space="preserve"> </v>
      </c>
    </row>
    <row r="431" spans="4:6" x14ac:dyDescent="0.35">
      <c r="D431" s="119"/>
      <c r="E431" s="96" t="str">
        <f t="shared" si="18"/>
        <v xml:space="preserve"> </v>
      </c>
      <c r="F431" s="96" t="str">
        <f t="shared" si="18"/>
        <v xml:space="preserve"> </v>
      </c>
    </row>
    <row r="432" spans="4:6" x14ac:dyDescent="0.35">
      <c r="D432" s="119"/>
      <c r="E432" s="96" t="str">
        <f t="shared" si="18"/>
        <v xml:space="preserve"> </v>
      </c>
      <c r="F432" s="96" t="str">
        <f t="shared" si="18"/>
        <v xml:space="preserve"> </v>
      </c>
    </row>
    <row r="433" spans="4:6" x14ac:dyDescent="0.35">
      <c r="D433" s="119"/>
      <c r="E433" s="96" t="str">
        <f t="shared" si="18"/>
        <v xml:space="preserve"> </v>
      </c>
      <c r="F433" s="96" t="str">
        <f t="shared" si="18"/>
        <v xml:space="preserve"> </v>
      </c>
    </row>
    <row r="434" spans="4:6" x14ac:dyDescent="0.35">
      <c r="D434" s="119"/>
      <c r="E434" s="96" t="str">
        <f t="shared" si="18"/>
        <v xml:space="preserve"> </v>
      </c>
      <c r="F434" s="96" t="str">
        <f t="shared" si="18"/>
        <v xml:space="preserve"> </v>
      </c>
    </row>
    <row r="435" spans="4:6" x14ac:dyDescent="0.35">
      <c r="D435" s="119"/>
      <c r="E435" s="96" t="str">
        <f t="shared" si="18"/>
        <v xml:space="preserve"> </v>
      </c>
      <c r="F435" s="96" t="str">
        <f t="shared" si="18"/>
        <v xml:space="preserve"> </v>
      </c>
    </row>
    <row r="436" spans="4:6" x14ac:dyDescent="0.35">
      <c r="D436" s="119"/>
      <c r="E436" s="96" t="str">
        <f t="shared" si="18"/>
        <v xml:space="preserve"> </v>
      </c>
      <c r="F436" s="96" t="str">
        <f t="shared" si="18"/>
        <v xml:space="preserve"> </v>
      </c>
    </row>
    <row r="437" spans="4:6" x14ac:dyDescent="0.35">
      <c r="D437" s="119"/>
      <c r="E437" s="96" t="str">
        <f t="shared" si="18"/>
        <v xml:space="preserve"> </v>
      </c>
      <c r="F437" s="96" t="str">
        <f t="shared" si="18"/>
        <v xml:space="preserve"> </v>
      </c>
    </row>
    <row r="438" spans="4:6" x14ac:dyDescent="0.35">
      <c r="D438" s="119"/>
      <c r="E438" s="96" t="str">
        <f t="shared" si="18"/>
        <v xml:space="preserve"> </v>
      </c>
      <c r="F438" s="96" t="str">
        <f t="shared" si="18"/>
        <v xml:space="preserve"> </v>
      </c>
    </row>
    <row r="439" spans="4:6" x14ac:dyDescent="0.35">
      <c r="D439" s="119"/>
      <c r="E439" s="96" t="str">
        <f t="shared" si="18"/>
        <v xml:space="preserve"> </v>
      </c>
      <c r="F439" s="96" t="str">
        <f t="shared" si="18"/>
        <v xml:space="preserve"> </v>
      </c>
    </row>
    <row r="440" spans="4:6" x14ac:dyDescent="0.35">
      <c r="D440" s="119"/>
      <c r="E440" s="96" t="str">
        <f t="shared" si="18"/>
        <v xml:space="preserve"> </v>
      </c>
      <c r="F440" s="96" t="str">
        <f t="shared" si="18"/>
        <v xml:space="preserve"> </v>
      </c>
    </row>
    <row r="441" spans="4:6" x14ac:dyDescent="0.35">
      <c r="D441" s="119"/>
      <c r="E441" s="96" t="str">
        <f t="shared" si="18"/>
        <v xml:space="preserve"> </v>
      </c>
      <c r="F441" s="96" t="str">
        <f t="shared" si="18"/>
        <v xml:space="preserve"> </v>
      </c>
    </row>
    <row r="442" spans="4:6" x14ac:dyDescent="0.35">
      <c r="D442" s="119"/>
      <c r="E442" s="96" t="str">
        <f t="shared" si="18"/>
        <v xml:space="preserve"> </v>
      </c>
      <c r="F442" s="96" t="str">
        <f t="shared" si="18"/>
        <v xml:space="preserve"> </v>
      </c>
    </row>
    <row r="443" spans="4:6" x14ac:dyDescent="0.35">
      <c r="D443" s="119"/>
      <c r="E443" s="96" t="str">
        <f t="shared" si="18"/>
        <v xml:space="preserve"> </v>
      </c>
      <c r="F443" s="96" t="str">
        <f t="shared" si="18"/>
        <v xml:space="preserve"> </v>
      </c>
    </row>
    <row r="444" spans="4:6" x14ac:dyDescent="0.35">
      <c r="D444" s="119"/>
      <c r="E444" s="96" t="str">
        <f t="shared" si="18"/>
        <v xml:space="preserve"> </v>
      </c>
      <c r="F444" s="96" t="str">
        <f t="shared" si="18"/>
        <v xml:space="preserve"> </v>
      </c>
    </row>
    <row r="445" spans="4:6" x14ac:dyDescent="0.35">
      <c r="D445" s="119"/>
      <c r="E445" s="96" t="str">
        <f t="shared" si="18"/>
        <v xml:space="preserve"> </v>
      </c>
      <c r="F445" s="96" t="str">
        <f t="shared" si="18"/>
        <v xml:space="preserve"> </v>
      </c>
    </row>
    <row r="446" spans="4:6" x14ac:dyDescent="0.35">
      <c r="D446" s="119"/>
      <c r="E446" s="96" t="str">
        <f t="shared" si="18"/>
        <v xml:space="preserve"> </v>
      </c>
      <c r="F446" s="96" t="str">
        <f t="shared" si="18"/>
        <v xml:space="preserve"> </v>
      </c>
    </row>
    <row r="447" spans="4:6" x14ac:dyDescent="0.35">
      <c r="D447" s="119"/>
      <c r="E447" s="96" t="str">
        <f t="shared" si="18"/>
        <v xml:space="preserve"> </v>
      </c>
      <c r="F447" s="96" t="str">
        <f t="shared" si="18"/>
        <v xml:space="preserve"> </v>
      </c>
    </row>
    <row r="448" spans="4:6" x14ac:dyDescent="0.35">
      <c r="D448" s="119"/>
      <c r="E448" s="96" t="str">
        <f t="shared" si="18"/>
        <v xml:space="preserve"> </v>
      </c>
      <c r="F448" s="96" t="str">
        <f t="shared" si="18"/>
        <v xml:space="preserve"> </v>
      </c>
    </row>
    <row r="449" spans="4:6" x14ac:dyDescent="0.35">
      <c r="D449" s="119"/>
      <c r="E449" s="96" t="str">
        <f t="shared" si="18"/>
        <v xml:space="preserve"> </v>
      </c>
      <c r="F449" s="96" t="str">
        <f t="shared" si="18"/>
        <v xml:space="preserve"> </v>
      </c>
    </row>
    <row r="450" spans="4:6" x14ac:dyDescent="0.35">
      <c r="D450" s="119"/>
      <c r="E450" s="96" t="str">
        <f t="shared" si="18"/>
        <v xml:space="preserve"> </v>
      </c>
      <c r="F450" s="96" t="str">
        <f t="shared" si="18"/>
        <v xml:space="preserve"> </v>
      </c>
    </row>
    <row r="451" spans="4:6" x14ac:dyDescent="0.35">
      <c r="D451" s="119"/>
      <c r="E451" s="96" t="str">
        <f t="shared" si="18"/>
        <v xml:space="preserve"> </v>
      </c>
      <c r="F451" s="96" t="str">
        <f t="shared" si="18"/>
        <v xml:space="preserve"> </v>
      </c>
    </row>
    <row r="452" spans="4:6" x14ac:dyDescent="0.35">
      <c r="D452" s="119"/>
      <c r="E452" s="96" t="str">
        <f t="shared" si="18"/>
        <v xml:space="preserve"> </v>
      </c>
      <c r="F452" s="96" t="str">
        <f t="shared" si="18"/>
        <v xml:space="preserve"> </v>
      </c>
    </row>
    <row r="453" spans="4:6" x14ac:dyDescent="0.35">
      <c r="D453" s="119"/>
      <c r="E453" s="96" t="str">
        <f t="shared" si="18"/>
        <v xml:space="preserve"> </v>
      </c>
      <c r="F453" s="96" t="str">
        <f t="shared" si="18"/>
        <v xml:space="preserve"> </v>
      </c>
    </row>
    <row r="454" spans="4:6" x14ac:dyDescent="0.35">
      <c r="D454" s="119"/>
      <c r="E454" s="96" t="str">
        <f t="shared" si="18"/>
        <v xml:space="preserve"> </v>
      </c>
      <c r="F454" s="96" t="str">
        <f t="shared" si="18"/>
        <v xml:space="preserve"> </v>
      </c>
    </row>
    <row r="455" spans="4:6" x14ac:dyDescent="0.35">
      <c r="D455" s="119"/>
      <c r="E455" s="96" t="str">
        <f t="shared" si="18"/>
        <v xml:space="preserve"> </v>
      </c>
      <c r="F455" s="96" t="str">
        <f t="shared" si="18"/>
        <v xml:space="preserve"> </v>
      </c>
    </row>
    <row r="456" spans="4:6" x14ac:dyDescent="0.35">
      <c r="D456" s="119"/>
      <c r="E456" s="96" t="str">
        <f t="shared" si="18"/>
        <v xml:space="preserve"> </v>
      </c>
      <c r="F456" s="96" t="str">
        <f t="shared" si="18"/>
        <v xml:space="preserve"> </v>
      </c>
    </row>
    <row r="457" spans="4:6" x14ac:dyDescent="0.35">
      <c r="D457" s="119"/>
      <c r="E457" s="96" t="str">
        <f t="shared" si="18"/>
        <v xml:space="preserve"> </v>
      </c>
      <c r="F457" s="96" t="str">
        <f t="shared" si="18"/>
        <v xml:space="preserve"> </v>
      </c>
    </row>
    <row r="458" spans="4:6" x14ac:dyDescent="0.35">
      <c r="D458" s="119"/>
      <c r="E458" s="96" t="str">
        <f t="shared" si="18"/>
        <v xml:space="preserve"> </v>
      </c>
      <c r="F458" s="96" t="str">
        <f t="shared" si="18"/>
        <v xml:space="preserve"> </v>
      </c>
    </row>
    <row r="459" spans="4:6" x14ac:dyDescent="0.35">
      <c r="E459" s="96" t="str">
        <f t="shared" si="18"/>
        <v xml:space="preserve"> </v>
      </c>
      <c r="F459" s="96" t="str">
        <f t="shared" si="18"/>
        <v xml:space="preserve"> </v>
      </c>
    </row>
    <row r="460" spans="4:6" x14ac:dyDescent="0.35">
      <c r="E460" s="96" t="str">
        <f t="shared" si="18"/>
        <v xml:space="preserve"> </v>
      </c>
      <c r="F460" s="96" t="str">
        <f t="shared" si="18"/>
        <v xml:space="preserve"> </v>
      </c>
    </row>
    <row r="461" spans="4:6" x14ac:dyDescent="0.35">
      <c r="E461" s="96" t="str">
        <f t="shared" si="18"/>
        <v xml:space="preserve"> </v>
      </c>
      <c r="F461" s="96" t="str">
        <f t="shared" si="18"/>
        <v xml:space="preserve"> </v>
      </c>
    </row>
    <row r="462" spans="4:6" x14ac:dyDescent="0.35">
      <c r="E462" s="96" t="str">
        <f t="shared" si="18"/>
        <v xml:space="preserve"> </v>
      </c>
      <c r="F462" s="96" t="str">
        <f t="shared" si="18"/>
        <v xml:space="preserve"> </v>
      </c>
    </row>
    <row r="463" spans="4:6" x14ac:dyDescent="0.35">
      <c r="E463" s="96" t="str">
        <f t="shared" si="18"/>
        <v xml:space="preserve"> </v>
      </c>
      <c r="F463" s="96" t="str">
        <f t="shared" si="18"/>
        <v xml:space="preserve"> </v>
      </c>
    </row>
    <row r="464" spans="4:6" x14ac:dyDescent="0.35">
      <c r="E464" s="96" t="str">
        <f t="shared" si="18"/>
        <v xml:space="preserve"> </v>
      </c>
      <c r="F464" s="96" t="str">
        <f t="shared" si="18"/>
        <v xml:space="preserve"> </v>
      </c>
    </row>
    <row r="465" spans="5:6" x14ac:dyDescent="0.35">
      <c r="E465" s="96" t="str">
        <f t="shared" si="18"/>
        <v xml:space="preserve"> </v>
      </c>
      <c r="F465" s="96" t="str">
        <f t="shared" si="18"/>
        <v xml:space="preserve"> </v>
      </c>
    </row>
    <row r="466" spans="5:6" x14ac:dyDescent="0.35">
      <c r="E466" s="96" t="str">
        <f t="shared" si="18"/>
        <v xml:space="preserve"> </v>
      </c>
      <c r="F466" s="96" t="str">
        <f t="shared" si="18"/>
        <v xml:space="preserve"> </v>
      </c>
    </row>
    <row r="467" spans="5:6" x14ac:dyDescent="0.35">
      <c r="E467" s="96" t="str">
        <f t="shared" si="18"/>
        <v xml:space="preserve"> </v>
      </c>
      <c r="F467" s="96" t="str">
        <f t="shared" si="18"/>
        <v xml:space="preserve"> </v>
      </c>
    </row>
    <row r="468" spans="5:6" x14ac:dyDescent="0.35">
      <c r="E468" s="96" t="str">
        <f t="shared" si="18"/>
        <v xml:space="preserve"> </v>
      </c>
      <c r="F468" s="96" t="str">
        <f t="shared" si="18"/>
        <v xml:space="preserve"> </v>
      </c>
    </row>
    <row r="469" spans="5:6" x14ac:dyDescent="0.35">
      <c r="E469" s="96" t="str">
        <f t="shared" si="18"/>
        <v xml:space="preserve"> </v>
      </c>
      <c r="F469" s="96" t="str">
        <f t="shared" si="18"/>
        <v xml:space="preserve"> </v>
      </c>
    </row>
    <row r="470" spans="5:6" x14ac:dyDescent="0.35">
      <c r="E470" s="96" t="str">
        <f t="shared" si="18"/>
        <v xml:space="preserve"> </v>
      </c>
      <c r="F470" s="96" t="str">
        <f t="shared" si="18"/>
        <v xml:space="preserve"> </v>
      </c>
    </row>
    <row r="471" spans="5:6" x14ac:dyDescent="0.35">
      <c r="E471" s="96" t="str">
        <f t="shared" ref="E471:F534" si="19">IF((IFERROR(C471/C470-1," "))=-1," ",IFERROR(C471/C470-1," "))</f>
        <v xml:space="preserve"> </v>
      </c>
      <c r="F471" s="96" t="str">
        <f t="shared" si="19"/>
        <v xml:space="preserve"> </v>
      </c>
    </row>
    <row r="472" spans="5:6" x14ac:dyDescent="0.35">
      <c r="E472" s="96" t="str">
        <f t="shared" si="19"/>
        <v xml:space="preserve"> </v>
      </c>
      <c r="F472" s="96" t="str">
        <f t="shared" si="19"/>
        <v xml:space="preserve"> </v>
      </c>
    </row>
    <row r="473" spans="5:6" x14ac:dyDescent="0.35">
      <c r="E473" s="96" t="str">
        <f t="shared" si="19"/>
        <v xml:space="preserve"> </v>
      </c>
      <c r="F473" s="96" t="str">
        <f t="shared" si="19"/>
        <v xml:space="preserve"> </v>
      </c>
    </row>
    <row r="474" spans="5:6" x14ac:dyDescent="0.35">
      <c r="E474" s="96" t="str">
        <f t="shared" si="19"/>
        <v xml:space="preserve"> </v>
      </c>
      <c r="F474" s="96" t="str">
        <f t="shared" si="19"/>
        <v xml:space="preserve"> </v>
      </c>
    </row>
    <row r="475" spans="5:6" x14ac:dyDescent="0.35">
      <c r="E475" s="96" t="str">
        <f t="shared" si="19"/>
        <v xml:space="preserve"> </v>
      </c>
      <c r="F475" s="96" t="str">
        <f t="shared" si="19"/>
        <v xml:space="preserve"> </v>
      </c>
    </row>
    <row r="476" spans="5:6" x14ac:dyDescent="0.35">
      <c r="E476" s="96" t="str">
        <f t="shared" si="19"/>
        <v xml:space="preserve"> </v>
      </c>
      <c r="F476" s="96" t="str">
        <f t="shared" si="19"/>
        <v xml:space="preserve"> </v>
      </c>
    </row>
    <row r="477" spans="5:6" x14ac:dyDescent="0.35">
      <c r="E477" s="96" t="str">
        <f t="shared" si="19"/>
        <v xml:space="preserve"> </v>
      </c>
      <c r="F477" s="96" t="str">
        <f t="shared" si="19"/>
        <v xml:space="preserve"> </v>
      </c>
    </row>
    <row r="478" spans="5:6" x14ac:dyDescent="0.35">
      <c r="E478" s="96" t="str">
        <f t="shared" si="19"/>
        <v xml:space="preserve"> </v>
      </c>
      <c r="F478" s="96" t="str">
        <f t="shared" si="19"/>
        <v xml:space="preserve"> </v>
      </c>
    </row>
    <row r="479" spans="5:6" x14ac:dyDescent="0.35">
      <c r="E479" s="96" t="str">
        <f t="shared" si="19"/>
        <v xml:space="preserve"> </v>
      </c>
      <c r="F479" s="96" t="str">
        <f t="shared" si="19"/>
        <v xml:space="preserve"> </v>
      </c>
    </row>
    <row r="480" spans="5:6" x14ac:dyDescent="0.35">
      <c r="E480" s="96" t="str">
        <f t="shared" si="19"/>
        <v xml:space="preserve"> </v>
      </c>
      <c r="F480" s="96" t="str">
        <f t="shared" si="19"/>
        <v xml:space="preserve"> </v>
      </c>
    </row>
    <row r="481" spans="5:6" x14ac:dyDescent="0.35">
      <c r="E481" s="96" t="str">
        <f t="shared" si="19"/>
        <v xml:space="preserve"> </v>
      </c>
      <c r="F481" s="96" t="str">
        <f t="shared" si="19"/>
        <v xml:space="preserve"> </v>
      </c>
    </row>
    <row r="482" spans="5:6" x14ac:dyDescent="0.35">
      <c r="E482" s="96" t="str">
        <f t="shared" si="19"/>
        <v xml:space="preserve"> </v>
      </c>
      <c r="F482" s="96" t="str">
        <f t="shared" si="19"/>
        <v xml:space="preserve"> </v>
      </c>
    </row>
    <row r="483" spans="5:6" x14ac:dyDescent="0.35">
      <c r="E483" s="96" t="str">
        <f t="shared" si="19"/>
        <v xml:space="preserve"> </v>
      </c>
      <c r="F483" s="96" t="str">
        <f t="shared" si="19"/>
        <v xml:space="preserve"> </v>
      </c>
    </row>
    <row r="484" spans="5:6" x14ac:dyDescent="0.35">
      <c r="E484" s="96" t="str">
        <f t="shared" si="19"/>
        <v xml:space="preserve"> </v>
      </c>
      <c r="F484" s="96" t="str">
        <f t="shared" si="19"/>
        <v xml:space="preserve"> </v>
      </c>
    </row>
    <row r="485" spans="5:6" x14ac:dyDescent="0.35">
      <c r="E485" s="96" t="str">
        <f t="shared" si="19"/>
        <v xml:space="preserve"> </v>
      </c>
      <c r="F485" s="96" t="str">
        <f t="shared" si="19"/>
        <v xml:space="preserve"> </v>
      </c>
    </row>
    <row r="486" spans="5:6" x14ac:dyDescent="0.35">
      <c r="E486" s="96" t="str">
        <f t="shared" si="19"/>
        <v xml:space="preserve"> </v>
      </c>
      <c r="F486" s="96" t="str">
        <f t="shared" si="19"/>
        <v xml:space="preserve"> </v>
      </c>
    </row>
    <row r="487" spans="5:6" x14ac:dyDescent="0.35">
      <c r="E487" s="96" t="str">
        <f t="shared" si="19"/>
        <v xml:space="preserve"> </v>
      </c>
      <c r="F487" s="96" t="str">
        <f t="shared" si="19"/>
        <v xml:space="preserve"> </v>
      </c>
    </row>
    <row r="488" spans="5:6" x14ac:dyDescent="0.35">
      <c r="E488" s="96" t="str">
        <f t="shared" si="19"/>
        <v xml:space="preserve"> </v>
      </c>
      <c r="F488" s="96" t="str">
        <f t="shared" si="19"/>
        <v xml:space="preserve"> </v>
      </c>
    </row>
    <row r="489" spans="5:6" x14ac:dyDescent="0.35">
      <c r="E489" s="96" t="str">
        <f t="shared" si="19"/>
        <v xml:space="preserve"> </v>
      </c>
      <c r="F489" s="96" t="str">
        <f t="shared" si="19"/>
        <v xml:space="preserve"> </v>
      </c>
    </row>
    <row r="490" spans="5:6" x14ac:dyDescent="0.35">
      <c r="E490" s="96" t="str">
        <f t="shared" si="19"/>
        <v xml:space="preserve"> </v>
      </c>
      <c r="F490" s="96" t="str">
        <f t="shared" si="19"/>
        <v xml:space="preserve"> </v>
      </c>
    </row>
    <row r="491" spans="5:6" x14ac:dyDescent="0.35">
      <c r="E491" s="96" t="str">
        <f t="shared" si="19"/>
        <v xml:space="preserve"> </v>
      </c>
      <c r="F491" s="96" t="str">
        <f t="shared" si="19"/>
        <v xml:space="preserve"> </v>
      </c>
    </row>
    <row r="492" spans="5:6" x14ac:dyDescent="0.35">
      <c r="E492" s="96" t="str">
        <f t="shared" si="19"/>
        <v xml:space="preserve"> </v>
      </c>
      <c r="F492" s="96" t="str">
        <f t="shared" si="19"/>
        <v xml:space="preserve"> </v>
      </c>
    </row>
    <row r="493" spans="5:6" x14ac:dyDescent="0.35">
      <c r="E493" s="96" t="str">
        <f t="shared" si="19"/>
        <v xml:space="preserve"> </v>
      </c>
      <c r="F493" s="96" t="str">
        <f t="shared" si="19"/>
        <v xml:space="preserve"> </v>
      </c>
    </row>
    <row r="494" spans="5:6" x14ac:dyDescent="0.35">
      <c r="E494" s="96" t="str">
        <f t="shared" si="19"/>
        <v xml:space="preserve"> </v>
      </c>
      <c r="F494" s="96" t="str">
        <f t="shared" si="19"/>
        <v xml:space="preserve"> </v>
      </c>
    </row>
    <row r="495" spans="5:6" x14ac:dyDescent="0.35">
      <c r="E495" s="96" t="str">
        <f t="shared" si="19"/>
        <v xml:space="preserve"> </v>
      </c>
      <c r="F495" s="96" t="str">
        <f t="shared" si="19"/>
        <v xml:space="preserve"> </v>
      </c>
    </row>
    <row r="496" spans="5:6" x14ac:dyDescent="0.35">
      <c r="E496" s="96" t="str">
        <f t="shared" si="19"/>
        <v xml:space="preserve"> </v>
      </c>
      <c r="F496" s="96" t="str">
        <f t="shared" si="19"/>
        <v xml:space="preserve"> </v>
      </c>
    </row>
    <row r="497" spans="5:6" x14ac:dyDescent="0.35">
      <c r="E497" s="96" t="str">
        <f t="shared" si="19"/>
        <v xml:space="preserve"> </v>
      </c>
      <c r="F497" s="96" t="str">
        <f t="shared" si="19"/>
        <v xml:space="preserve"> </v>
      </c>
    </row>
    <row r="498" spans="5:6" x14ac:dyDescent="0.35">
      <c r="E498" s="96" t="str">
        <f t="shared" si="19"/>
        <v xml:space="preserve"> </v>
      </c>
      <c r="F498" s="96" t="str">
        <f t="shared" si="19"/>
        <v xml:space="preserve"> </v>
      </c>
    </row>
    <row r="499" spans="5:6" x14ac:dyDescent="0.35">
      <c r="E499" s="96" t="str">
        <f t="shared" si="19"/>
        <v xml:space="preserve"> </v>
      </c>
      <c r="F499" s="96" t="str">
        <f t="shared" si="19"/>
        <v xml:space="preserve"> </v>
      </c>
    </row>
    <row r="500" spans="5:6" x14ac:dyDescent="0.35">
      <c r="E500" s="96" t="str">
        <f t="shared" si="19"/>
        <v xml:space="preserve"> </v>
      </c>
      <c r="F500" s="96" t="str">
        <f t="shared" si="19"/>
        <v xml:space="preserve"> </v>
      </c>
    </row>
    <row r="501" spans="5:6" x14ac:dyDescent="0.35">
      <c r="E501" s="96" t="str">
        <f t="shared" si="19"/>
        <v xml:space="preserve"> </v>
      </c>
      <c r="F501" s="96" t="str">
        <f t="shared" si="19"/>
        <v xml:space="preserve"> </v>
      </c>
    </row>
    <row r="502" spans="5:6" x14ac:dyDescent="0.35">
      <c r="E502" s="96" t="str">
        <f t="shared" si="19"/>
        <v xml:space="preserve"> </v>
      </c>
      <c r="F502" s="96" t="str">
        <f t="shared" si="19"/>
        <v xml:space="preserve"> </v>
      </c>
    </row>
    <row r="503" spans="5:6" x14ac:dyDescent="0.35">
      <c r="E503" s="96" t="str">
        <f t="shared" si="19"/>
        <v xml:space="preserve"> </v>
      </c>
      <c r="F503" s="96" t="str">
        <f t="shared" si="19"/>
        <v xml:space="preserve"> </v>
      </c>
    </row>
    <row r="504" spans="5:6" x14ac:dyDescent="0.35">
      <c r="E504" s="96" t="str">
        <f t="shared" si="19"/>
        <v xml:space="preserve"> </v>
      </c>
      <c r="F504" s="96" t="str">
        <f t="shared" si="19"/>
        <v xml:space="preserve"> </v>
      </c>
    </row>
    <row r="505" spans="5:6" x14ac:dyDescent="0.35">
      <c r="E505" s="96" t="str">
        <f t="shared" si="19"/>
        <v xml:space="preserve"> </v>
      </c>
      <c r="F505" s="96" t="str">
        <f t="shared" si="19"/>
        <v xml:space="preserve"> </v>
      </c>
    </row>
    <row r="506" spans="5:6" x14ac:dyDescent="0.35">
      <c r="E506" s="96" t="str">
        <f t="shared" si="19"/>
        <v xml:space="preserve"> </v>
      </c>
      <c r="F506" s="96" t="str">
        <f t="shared" si="19"/>
        <v xml:space="preserve"> </v>
      </c>
    </row>
    <row r="507" spans="5:6" x14ac:dyDescent="0.35">
      <c r="E507" s="96" t="str">
        <f t="shared" si="19"/>
        <v xml:space="preserve"> </v>
      </c>
      <c r="F507" s="96" t="str">
        <f t="shared" si="19"/>
        <v xml:space="preserve"> </v>
      </c>
    </row>
    <row r="508" spans="5:6" x14ac:dyDescent="0.35">
      <c r="E508" s="96" t="str">
        <f t="shared" si="19"/>
        <v xml:space="preserve"> </v>
      </c>
      <c r="F508" s="96" t="str">
        <f t="shared" si="19"/>
        <v xml:space="preserve"> </v>
      </c>
    </row>
    <row r="509" spans="5:6" x14ac:dyDescent="0.35">
      <c r="E509" s="96" t="str">
        <f t="shared" si="19"/>
        <v xml:space="preserve"> </v>
      </c>
      <c r="F509" s="96" t="str">
        <f t="shared" si="19"/>
        <v xml:space="preserve"> </v>
      </c>
    </row>
    <row r="510" spans="5:6" x14ac:dyDescent="0.35">
      <c r="E510" s="96" t="str">
        <f t="shared" si="19"/>
        <v xml:space="preserve"> </v>
      </c>
      <c r="F510" s="96" t="str">
        <f t="shared" si="19"/>
        <v xml:space="preserve"> </v>
      </c>
    </row>
    <row r="511" spans="5:6" x14ac:dyDescent="0.35">
      <c r="E511" s="96" t="str">
        <f t="shared" si="19"/>
        <v xml:space="preserve"> </v>
      </c>
      <c r="F511" s="96" t="str">
        <f t="shared" si="19"/>
        <v xml:space="preserve"> </v>
      </c>
    </row>
    <row r="512" spans="5:6" x14ac:dyDescent="0.35">
      <c r="E512" s="96" t="str">
        <f t="shared" si="19"/>
        <v xml:space="preserve"> </v>
      </c>
      <c r="F512" s="96" t="str">
        <f t="shared" si="19"/>
        <v xml:space="preserve"> </v>
      </c>
    </row>
    <row r="513" spans="5:6" x14ac:dyDescent="0.35">
      <c r="E513" s="96" t="str">
        <f t="shared" si="19"/>
        <v xml:space="preserve"> </v>
      </c>
      <c r="F513" s="96" t="str">
        <f t="shared" si="19"/>
        <v xml:space="preserve"> </v>
      </c>
    </row>
    <row r="514" spans="5:6" x14ac:dyDescent="0.35">
      <c r="E514" s="96" t="str">
        <f t="shared" si="19"/>
        <v xml:space="preserve"> </v>
      </c>
      <c r="F514" s="96" t="str">
        <f t="shared" si="19"/>
        <v xml:space="preserve"> </v>
      </c>
    </row>
    <row r="515" spans="5:6" x14ac:dyDescent="0.35">
      <c r="E515" s="96" t="str">
        <f t="shared" si="19"/>
        <v xml:space="preserve"> </v>
      </c>
      <c r="F515" s="96" t="str">
        <f t="shared" si="19"/>
        <v xml:space="preserve"> </v>
      </c>
    </row>
    <row r="516" spans="5:6" x14ac:dyDescent="0.35">
      <c r="E516" s="96" t="str">
        <f t="shared" si="19"/>
        <v xml:space="preserve"> </v>
      </c>
      <c r="F516" s="96" t="str">
        <f t="shared" si="19"/>
        <v xml:space="preserve"> </v>
      </c>
    </row>
    <row r="517" spans="5:6" x14ac:dyDescent="0.35">
      <c r="E517" s="96" t="str">
        <f t="shared" si="19"/>
        <v xml:space="preserve"> </v>
      </c>
      <c r="F517" s="96" t="str">
        <f t="shared" si="19"/>
        <v xml:space="preserve"> </v>
      </c>
    </row>
    <row r="518" spans="5:6" x14ac:dyDescent="0.35">
      <c r="E518" s="96" t="str">
        <f t="shared" si="19"/>
        <v xml:space="preserve"> </v>
      </c>
      <c r="F518" s="96" t="str">
        <f t="shared" si="19"/>
        <v xml:space="preserve"> </v>
      </c>
    </row>
    <row r="519" spans="5:6" x14ac:dyDescent="0.35">
      <c r="E519" s="96" t="str">
        <f t="shared" si="19"/>
        <v xml:space="preserve"> </v>
      </c>
      <c r="F519" s="96" t="str">
        <f t="shared" si="19"/>
        <v xml:space="preserve"> </v>
      </c>
    </row>
    <row r="520" spans="5:6" x14ac:dyDescent="0.35">
      <c r="E520" s="96" t="str">
        <f t="shared" si="19"/>
        <v xml:space="preserve"> </v>
      </c>
      <c r="F520" s="96" t="str">
        <f t="shared" si="19"/>
        <v xml:space="preserve"> </v>
      </c>
    </row>
    <row r="521" spans="5:6" x14ac:dyDescent="0.35">
      <c r="E521" s="96" t="str">
        <f t="shared" si="19"/>
        <v xml:space="preserve"> </v>
      </c>
      <c r="F521" s="96" t="str">
        <f t="shared" si="19"/>
        <v xml:space="preserve"> </v>
      </c>
    </row>
    <row r="522" spans="5:6" x14ac:dyDescent="0.35">
      <c r="E522" s="96" t="str">
        <f t="shared" si="19"/>
        <v xml:space="preserve"> </v>
      </c>
      <c r="F522" s="96" t="str">
        <f t="shared" si="19"/>
        <v xml:space="preserve"> </v>
      </c>
    </row>
    <row r="523" spans="5:6" x14ac:dyDescent="0.35">
      <c r="E523" s="96" t="str">
        <f t="shared" si="19"/>
        <v xml:space="preserve"> </v>
      </c>
      <c r="F523" s="96" t="str">
        <f t="shared" si="19"/>
        <v xml:space="preserve"> </v>
      </c>
    </row>
    <row r="524" spans="5:6" x14ac:dyDescent="0.35">
      <c r="E524" s="96" t="str">
        <f t="shared" si="19"/>
        <v xml:space="preserve"> </v>
      </c>
      <c r="F524" s="96" t="str">
        <f t="shared" si="19"/>
        <v xml:space="preserve"> </v>
      </c>
    </row>
    <row r="525" spans="5:6" x14ac:dyDescent="0.35">
      <c r="E525" s="96" t="str">
        <f t="shared" si="19"/>
        <v xml:space="preserve"> </v>
      </c>
      <c r="F525" s="96" t="str">
        <f t="shared" si="19"/>
        <v xml:space="preserve"> </v>
      </c>
    </row>
    <row r="526" spans="5:6" x14ac:dyDescent="0.35">
      <c r="E526" s="96" t="str">
        <f t="shared" si="19"/>
        <v xml:space="preserve"> </v>
      </c>
      <c r="F526" s="96" t="str">
        <f t="shared" si="19"/>
        <v xml:space="preserve"> </v>
      </c>
    </row>
    <row r="527" spans="5:6" x14ac:dyDescent="0.35">
      <c r="E527" s="96" t="str">
        <f t="shared" si="19"/>
        <v xml:space="preserve"> </v>
      </c>
      <c r="F527" s="96" t="str">
        <f t="shared" si="19"/>
        <v xml:space="preserve"> </v>
      </c>
    </row>
    <row r="528" spans="5:6" x14ac:dyDescent="0.35">
      <c r="E528" s="96" t="str">
        <f t="shared" si="19"/>
        <v xml:space="preserve"> </v>
      </c>
      <c r="F528" s="96" t="str">
        <f t="shared" si="19"/>
        <v xml:space="preserve"> </v>
      </c>
    </row>
    <row r="529" spans="5:6" x14ac:dyDescent="0.35">
      <c r="E529" s="96" t="str">
        <f t="shared" si="19"/>
        <v xml:space="preserve"> </v>
      </c>
      <c r="F529" s="96" t="str">
        <f t="shared" si="19"/>
        <v xml:space="preserve"> </v>
      </c>
    </row>
    <row r="530" spans="5:6" x14ac:dyDescent="0.35">
      <c r="E530" s="96" t="str">
        <f t="shared" si="19"/>
        <v xml:space="preserve"> </v>
      </c>
      <c r="F530" s="96" t="str">
        <f t="shared" si="19"/>
        <v xml:space="preserve"> </v>
      </c>
    </row>
    <row r="531" spans="5:6" x14ac:dyDescent="0.35">
      <c r="E531" s="96" t="str">
        <f t="shared" si="19"/>
        <v xml:space="preserve"> </v>
      </c>
      <c r="F531" s="96" t="str">
        <f t="shared" si="19"/>
        <v xml:space="preserve"> </v>
      </c>
    </row>
    <row r="532" spans="5:6" x14ac:dyDescent="0.35">
      <c r="E532" s="96" t="str">
        <f t="shared" si="19"/>
        <v xml:space="preserve"> </v>
      </c>
      <c r="F532" s="96" t="str">
        <f t="shared" si="19"/>
        <v xml:space="preserve"> </v>
      </c>
    </row>
    <row r="533" spans="5:6" x14ac:dyDescent="0.35">
      <c r="E533" s="96" t="str">
        <f t="shared" si="19"/>
        <v xml:space="preserve"> </v>
      </c>
      <c r="F533" s="96" t="str">
        <f t="shared" si="19"/>
        <v xml:space="preserve"> </v>
      </c>
    </row>
    <row r="534" spans="5:6" x14ac:dyDescent="0.35">
      <c r="E534" s="96" t="str">
        <f t="shared" si="19"/>
        <v xml:space="preserve"> </v>
      </c>
      <c r="F534" s="96" t="str">
        <f t="shared" si="19"/>
        <v xml:space="preserve"> </v>
      </c>
    </row>
    <row r="535" spans="5:6" x14ac:dyDescent="0.35">
      <c r="E535" s="96" t="str">
        <f t="shared" ref="E535:F598" si="20">IF((IFERROR(C535/C534-1," "))=-1," ",IFERROR(C535/C534-1," "))</f>
        <v xml:space="preserve"> </v>
      </c>
      <c r="F535" s="96" t="str">
        <f t="shared" si="20"/>
        <v xml:space="preserve"> </v>
      </c>
    </row>
    <row r="536" spans="5:6" x14ac:dyDescent="0.35">
      <c r="E536" s="96" t="str">
        <f t="shared" si="20"/>
        <v xml:space="preserve"> </v>
      </c>
      <c r="F536" s="96" t="str">
        <f t="shared" si="20"/>
        <v xml:space="preserve"> </v>
      </c>
    </row>
    <row r="537" spans="5:6" x14ac:dyDescent="0.35">
      <c r="E537" s="96" t="str">
        <f t="shared" si="20"/>
        <v xml:space="preserve"> </v>
      </c>
      <c r="F537" s="96" t="str">
        <f t="shared" si="20"/>
        <v xml:space="preserve"> </v>
      </c>
    </row>
    <row r="538" spans="5:6" x14ac:dyDescent="0.35">
      <c r="E538" s="96" t="str">
        <f t="shared" si="20"/>
        <v xml:space="preserve"> </v>
      </c>
      <c r="F538" s="96" t="str">
        <f t="shared" si="20"/>
        <v xml:space="preserve"> </v>
      </c>
    </row>
    <row r="539" spans="5:6" x14ac:dyDescent="0.35">
      <c r="E539" s="96" t="str">
        <f t="shared" si="20"/>
        <v xml:space="preserve"> </v>
      </c>
      <c r="F539" s="96" t="str">
        <f t="shared" si="20"/>
        <v xml:space="preserve"> </v>
      </c>
    </row>
    <row r="540" spans="5:6" x14ac:dyDescent="0.35">
      <c r="E540" s="96" t="str">
        <f t="shared" si="20"/>
        <v xml:space="preserve"> </v>
      </c>
      <c r="F540" s="96" t="str">
        <f t="shared" si="20"/>
        <v xml:space="preserve"> </v>
      </c>
    </row>
    <row r="541" spans="5:6" x14ac:dyDescent="0.35">
      <c r="E541" s="96" t="str">
        <f t="shared" si="20"/>
        <v xml:space="preserve"> </v>
      </c>
      <c r="F541" s="96" t="str">
        <f t="shared" si="20"/>
        <v xml:space="preserve"> </v>
      </c>
    </row>
    <row r="542" spans="5:6" x14ac:dyDescent="0.35">
      <c r="E542" s="96" t="str">
        <f t="shared" si="20"/>
        <v xml:space="preserve"> </v>
      </c>
      <c r="F542" s="96" t="str">
        <f t="shared" si="20"/>
        <v xml:space="preserve"> </v>
      </c>
    </row>
    <row r="543" spans="5:6" x14ac:dyDescent="0.35">
      <c r="E543" s="96" t="str">
        <f t="shared" si="20"/>
        <v xml:space="preserve"> </v>
      </c>
      <c r="F543" s="96" t="str">
        <f t="shared" si="20"/>
        <v xml:space="preserve"> </v>
      </c>
    </row>
    <row r="544" spans="5:6" x14ac:dyDescent="0.35">
      <c r="E544" s="96" t="str">
        <f t="shared" si="20"/>
        <v xml:space="preserve"> </v>
      </c>
      <c r="F544" s="96" t="str">
        <f t="shared" si="20"/>
        <v xml:space="preserve"> </v>
      </c>
    </row>
    <row r="545" spans="5:6" x14ac:dyDescent="0.35">
      <c r="E545" s="96" t="str">
        <f t="shared" si="20"/>
        <v xml:space="preserve"> </v>
      </c>
      <c r="F545" s="96" t="str">
        <f t="shared" si="20"/>
        <v xml:space="preserve"> </v>
      </c>
    </row>
    <row r="546" spans="5:6" x14ac:dyDescent="0.35">
      <c r="E546" s="96" t="str">
        <f t="shared" si="20"/>
        <v xml:space="preserve"> </v>
      </c>
      <c r="F546" s="96" t="str">
        <f t="shared" si="20"/>
        <v xml:space="preserve"> </v>
      </c>
    </row>
    <row r="547" spans="5:6" x14ac:dyDescent="0.35">
      <c r="E547" s="96" t="str">
        <f t="shared" si="20"/>
        <v xml:space="preserve"> </v>
      </c>
      <c r="F547" s="96" t="str">
        <f t="shared" si="20"/>
        <v xml:space="preserve"> </v>
      </c>
    </row>
    <row r="548" spans="5:6" x14ac:dyDescent="0.35">
      <c r="E548" s="96" t="str">
        <f t="shared" si="20"/>
        <v xml:space="preserve"> </v>
      </c>
      <c r="F548" s="96" t="str">
        <f t="shared" si="20"/>
        <v xml:space="preserve"> </v>
      </c>
    </row>
    <row r="549" spans="5:6" x14ac:dyDescent="0.35">
      <c r="E549" s="96" t="str">
        <f t="shared" si="20"/>
        <v xml:space="preserve"> </v>
      </c>
      <c r="F549" s="96" t="str">
        <f t="shared" si="20"/>
        <v xml:space="preserve"> </v>
      </c>
    </row>
    <row r="550" spans="5:6" x14ac:dyDescent="0.35">
      <c r="E550" s="96" t="str">
        <f t="shared" si="20"/>
        <v xml:space="preserve"> </v>
      </c>
      <c r="F550" s="96" t="str">
        <f t="shared" si="20"/>
        <v xml:space="preserve"> </v>
      </c>
    </row>
    <row r="551" spans="5:6" x14ac:dyDescent="0.35">
      <c r="E551" s="96" t="str">
        <f t="shared" si="20"/>
        <v xml:space="preserve"> </v>
      </c>
      <c r="F551" s="96" t="str">
        <f t="shared" si="20"/>
        <v xml:space="preserve"> </v>
      </c>
    </row>
    <row r="552" spans="5:6" x14ac:dyDescent="0.35">
      <c r="E552" s="96" t="str">
        <f t="shared" si="20"/>
        <v xml:space="preserve"> </v>
      </c>
      <c r="F552" s="96" t="str">
        <f t="shared" si="20"/>
        <v xml:space="preserve"> </v>
      </c>
    </row>
    <row r="553" spans="5:6" x14ac:dyDescent="0.35">
      <c r="E553" s="96" t="str">
        <f t="shared" si="20"/>
        <v xml:space="preserve"> </v>
      </c>
      <c r="F553" s="96" t="str">
        <f t="shared" si="20"/>
        <v xml:space="preserve"> </v>
      </c>
    </row>
    <row r="554" spans="5:6" x14ac:dyDescent="0.35">
      <c r="E554" s="96" t="str">
        <f t="shared" si="20"/>
        <v xml:space="preserve"> </v>
      </c>
      <c r="F554" s="96" t="str">
        <f t="shared" si="20"/>
        <v xml:space="preserve"> </v>
      </c>
    </row>
    <row r="555" spans="5:6" x14ac:dyDescent="0.35">
      <c r="E555" s="96" t="str">
        <f t="shared" si="20"/>
        <v xml:space="preserve"> </v>
      </c>
      <c r="F555" s="96" t="str">
        <f t="shared" si="20"/>
        <v xml:space="preserve"> </v>
      </c>
    </row>
    <row r="556" spans="5:6" x14ac:dyDescent="0.35">
      <c r="E556" s="96" t="str">
        <f t="shared" si="20"/>
        <v xml:space="preserve"> </v>
      </c>
      <c r="F556" s="96" t="str">
        <f t="shared" si="20"/>
        <v xml:space="preserve"> </v>
      </c>
    </row>
    <row r="557" spans="5:6" x14ac:dyDescent="0.35">
      <c r="E557" s="96" t="str">
        <f t="shared" si="20"/>
        <v xml:space="preserve"> </v>
      </c>
      <c r="F557" s="96" t="str">
        <f t="shared" si="20"/>
        <v xml:space="preserve"> </v>
      </c>
    </row>
    <row r="558" spans="5:6" x14ac:dyDescent="0.35">
      <c r="E558" s="96" t="str">
        <f t="shared" si="20"/>
        <v xml:space="preserve"> </v>
      </c>
      <c r="F558" s="96" t="str">
        <f t="shared" si="20"/>
        <v xml:space="preserve"> </v>
      </c>
    </row>
    <row r="559" spans="5:6" x14ac:dyDescent="0.35">
      <c r="E559" s="96" t="str">
        <f t="shared" si="20"/>
        <v xml:space="preserve"> </v>
      </c>
      <c r="F559" s="96" t="str">
        <f t="shared" si="20"/>
        <v xml:space="preserve"> </v>
      </c>
    </row>
    <row r="560" spans="5:6" x14ac:dyDescent="0.35">
      <c r="E560" s="96" t="str">
        <f t="shared" si="20"/>
        <v xml:space="preserve"> </v>
      </c>
      <c r="F560" s="96" t="str">
        <f t="shared" si="20"/>
        <v xml:space="preserve"> </v>
      </c>
    </row>
    <row r="561" spans="5:6" x14ac:dyDescent="0.35">
      <c r="E561" s="96" t="str">
        <f t="shared" si="20"/>
        <v xml:space="preserve"> </v>
      </c>
      <c r="F561" s="96" t="str">
        <f t="shared" si="20"/>
        <v xml:space="preserve"> </v>
      </c>
    </row>
    <row r="562" spans="5:6" x14ac:dyDescent="0.35">
      <c r="E562" s="96" t="str">
        <f t="shared" si="20"/>
        <v xml:space="preserve"> </v>
      </c>
      <c r="F562" s="96" t="str">
        <f t="shared" si="20"/>
        <v xml:space="preserve"> </v>
      </c>
    </row>
    <row r="563" spans="5:6" x14ac:dyDescent="0.35">
      <c r="E563" s="96" t="str">
        <f t="shared" si="20"/>
        <v xml:space="preserve"> </v>
      </c>
      <c r="F563" s="96" t="str">
        <f t="shared" si="20"/>
        <v xml:space="preserve"> </v>
      </c>
    </row>
    <row r="564" spans="5:6" x14ac:dyDescent="0.35">
      <c r="E564" s="96" t="str">
        <f t="shared" si="20"/>
        <v xml:space="preserve"> </v>
      </c>
      <c r="F564" s="96" t="str">
        <f t="shared" si="20"/>
        <v xml:space="preserve"> </v>
      </c>
    </row>
    <row r="565" spans="5:6" x14ac:dyDescent="0.35">
      <c r="E565" s="96" t="str">
        <f t="shared" si="20"/>
        <v xml:space="preserve"> </v>
      </c>
      <c r="F565" s="96" t="str">
        <f t="shared" si="20"/>
        <v xml:space="preserve"> </v>
      </c>
    </row>
    <row r="566" spans="5:6" x14ac:dyDescent="0.35">
      <c r="E566" s="96" t="str">
        <f t="shared" si="20"/>
        <v xml:space="preserve"> </v>
      </c>
      <c r="F566" s="96" t="str">
        <f t="shared" si="20"/>
        <v xml:space="preserve"> </v>
      </c>
    </row>
    <row r="567" spans="5:6" x14ac:dyDescent="0.35">
      <c r="E567" s="96" t="str">
        <f t="shared" si="20"/>
        <v xml:space="preserve"> </v>
      </c>
      <c r="F567" s="96" t="str">
        <f t="shared" si="20"/>
        <v xml:space="preserve"> </v>
      </c>
    </row>
    <row r="568" spans="5:6" x14ac:dyDescent="0.35">
      <c r="E568" s="96" t="str">
        <f t="shared" si="20"/>
        <v xml:space="preserve"> </v>
      </c>
      <c r="F568" s="96" t="str">
        <f t="shared" si="20"/>
        <v xml:space="preserve"> </v>
      </c>
    </row>
    <row r="569" spans="5:6" x14ac:dyDescent="0.35">
      <c r="E569" s="96" t="str">
        <f t="shared" si="20"/>
        <v xml:space="preserve"> </v>
      </c>
      <c r="F569" s="96" t="str">
        <f t="shared" si="20"/>
        <v xml:space="preserve"> </v>
      </c>
    </row>
    <row r="570" spans="5:6" x14ac:dyDescent="0.35">
      <c r="E570" s="96" t="str">
        <f t="shared" si="20"/>
        <v xml:space="preserve"> </v>
      </c>
      <c r="F570" s="96" t="str">
        <f t="shared" si="20"/>
        <v xml:space="preserve"> </v>
      </c>
    </row>
    <row r="571" spans="5:6" x14ac:dyDescent="0.35">
      <c r="E571" s="96" t="str">
        <f t="shared" si="20"/>
        <v xml:space="preserve"> </v>
      </c>
      <c r="F571" s="96" t="str">
        <f t="shared" si="20"/>
        <v xml:space="preserve"> </v>
      </c>
    </row>
    <row r="572" spans="5:6" x14ac:dyDescent="0.35">
      <c r="E572" s="96" t="str">
        <f t="shared" si="20"/>
        <v xml:space="preserve"> </v>
      </c>
      <c r="F572" s="96" t="str">
        <f t="shared" si="20"/>
        <v xml:space="preserve"> </v>
      </c>
    </row>
    <row r="573" spans="5:6" x14ac:dyDescent="0.35">
      <c r="E573" s="96" t="str">
        <f t="shared" si="20"/>
        <v xml:space="preserve"> </v>
      </c>
      <c r="F573" s="96" t="str">
        <f t="shared" si="20"/>
        <v xml:space="preserve"> </v>
      </c>
    </row>
    <row r="574" spans="5:6" x14ac:dyDescent="0.35">
      <c r="E574" s="96" t="str">
        <f t="shared" si="20"/>
        <v xml:space="preserve"> </v>
      </c>
      <c r="F574" s="96" t="str">
        <f t="shared" si="20"/>
        <v xml:space="preserve"> </v>
      </c>
    </row>
    <row r="575" spans="5:6" x14ac:dyDescent="0.35">
      <c r="E575" s="96" t="str">
        <f t="shared" si="20"/>
        <v xml:space="preserve"> </v>
      </c>
      <c r="F575" s="96" t="str">
        <f t="shared" si="20"/>
        <v xml:space="preserve"> </v>
      </c>
    </row>
    <row r="576" spans="5:6" x14ac:dyDescent="0.35">
      <c r="E576" s="96" t="str">
        <f t="shared" si="20"/>
        <v xml:space="preserve"> </v>
      </c>
      <c r="F576" s="96" t="str">
        <f t="shared" si="20"/>
        <v xml:space="preserve"> </v>
      </c>
    </row>
    <row r="577" spans="5:6" x14ac:dyDescent="0.35">
      <c r="E577" s="96" t="str">
        <f t="shared" si="20"/>
        <v xml:space="preserve"> </v>
      </c>
      <c r="F577" s="96" t="str">
        <f t="shared" si="20"/>
        <v xml:space="preserve"> </v>
      </c>
    </row>
    <row r="578" spans="5:6" x14ac:dyDescent="0.35">
      <c r="E578" s="96" t="str">
        <f t="shared" si="20"/>
        <v xml:space="preserve"> </v>
      </c>
      <c r="F578" s="96" t="str">
        <f t="shared" si="20"/>
        <v xml:space="preserve"> </v>
      </c>
    </row>
    <row r="579" spans="5:6" x14ac:dyDescent="0.35">
      <c r="E579" s="96" t="str">
        <f t="shared" si="20"/>
        <v xml:space="preserve"> </v>
      </c>
      <c r="F579" s="96" t="str">
        <f t="shared" si="20"/>
        <v xml:space="preserve"> </v>
      </c>
    </row>
    <row r="580" spans="5:6" x14ac:dyDescent="0.35">
      <c r="E580" s="96" t="str">
        <f t="shared" si="20"/>
        <v xml:space="preserve"> </v>
      </c>
      <c r="F580" s="96" t="str">
        <f t="shared" si="20"/>
        <v xml:space="preserve"> </v>
      </c>
    </row>
    <row r="581" spans="5:6" x14ac:dyDescent="0.35">
      <c r="E581" s="96" t="str">
        <f t="shared" si="20"/>
        <v xml:space="preserve"> </v>
      </c>
      <c r="F581" s="96" t="str">
        <f t="shared" si="20"/>
        <v xml:space="preserve"> </v>
      </c>
    </row>
    <row r="582" spans="5:6" x14ac:dyDescent="0.35">
      <c r="E582" s="96" t="str">
        <f t="shared" si="20"/>
        <v xml:space="preserve"> </v>
      </c>
      <c r="F582" s="96" t="str">
        <f t="shared" si="20"/>
        <v xml:space="preserve"> </v>
      </c>
    </row>
    <row r="583" spans="5:6" x14ac:dyDescent="0.35">
      <c r="E583" s="96" t="str">
        <f t="shared" si="20"/>
        <v xml:space="preserve"> </v>
      </c>
      <c r="F583" s="96" t="str">
        <f t="shared" si="20"/>
        <v xml:space="preserve"> </v>
      </c>
    </row>
    <row r="584" spans="5:6" x14ac:dyDescent="0.35">
      <c r="E584" s="96" t="str">
        <f t="shared" si="20"/>
        <v xml:space="preserve"> </v>
      </c>
      <c r="F584" s="96" t="str">
        <f t="shared" si="20"/>
        <v xml:space="preserve"> </v>
      </c>
    </row>
    <row r="585" spans="5:6" x14ac:dyDescent="0.35">
      <c r="E585" s="96" t="str">
        <f t="shared" si="20"/>
        <v xml:space="preserve"> </v>
      </c>
      <c r="F585" s="96" t="str">
        <f t="shared" si="20"/>
        <v xml:space="preserve"> </v>
      </c>
    </row>
    <row r="586" spans="5:6" x14ac:dyDescent="0.35">
      <c r="E586" s="96" t="str">
        <f t="shared" si="20"/>
        <v xml:space="preserve"> </v>
      </c>
      <c r="F586" s="96" t="str">
        <f t="shared" si="20"/>
        <v xml:space="preserve"> </v>
      </c>
    </row>
    <row r="587" spans="5:6" x14ac:dyDescent="0.35">
      <c r="E587" s="96" t="str">
        <f t="shared" si="20"/>
        <v xml:space="preserve"> </v>
      </c>
      <c r="F587" s="96" t="str">
        <f t="shared" si="20"/>
        <v xml:space="preserve"> </v>
      </c>
    </row>
    <row r="588" spans="5:6" x14ac:dyDescent="0.35">
      <c r="E588" s="96" t="str">
        <f t="shared" si="20"/>
        <v xml:space="preserve"> </v>
      </c>
      <c r="F588" s="96" t="str">
        <f t="shared" si="20"/>
        <v xml:space="preserve"> </v>
      </c>
    </row>
    <row r="589" spans="5:6" x14ac:dyDescent="0.35">
      <c r="E589" s="96" t="str">
        <f t="shared" si="20"/>
        <v xml:space="preserve"> </v>
      </c>
      <c r="F589" s="96" t="str">
        <f t="shared" si="20"/>
        <v xml:space="preserve"> </v>
      </c>
    </row>
    <row r="590" spans="5:6" x14ac:dyDescent="0.35">
      <c r="E590" s="96" t="str">
        <f t="shared" si="20"/>
        <v xml:space="preserve"> </v>
      </c>
      <c r="F590" s="96" t="str">
        <f t="shared" si="20"/>
        <v xml:space="preserve"> </v>
      </c>
    </row>
    <row r="591" spans="5:6" x14ac:dyDescent="0.35">
      <c r="E591" s="96" t="str">
        <f t="shared" si="20"/>
        <v xml:space="preserve"> </v>
      </c>
      <c r="F591" s="96" t="str">
        <f t="shared" si="20"/>
        <v xml:space="preserve"> </v>
      </c>
    </row>
    <row r="592" spans="5:6" x14ac:dyDescent="0.35">
      <c r="E592" s="96" t="str">
        <f t="shared" si="20"/>
        <v xml:space="preserve"> </v>
      </c>
      <c r="F592" s="96" t="str">
        <f t="shared" si="20"/>
        <v xml:space="preserve"> </v>
      </c>
    </row>
    <row r="593" spans="5:6" x14ac:dyDescent="0.35">
      <c r="E593" s="96" t="str">
        <f t="shared" si="20"/>
        <v xml:space="preserve"> </v>
      </c>
      <c r="F593" s="96" t="str">
        <f t="shared" si="20"/>
        <v xml:space="preserve"> </v>
      </c>
    </row>
    <row r="594" spans="5:6" x14ac:dyDescent="0.35">
      <c r="E594" s="96" t="str">
        <f t="shared" si="20"/>
        <v xml:space="preserve"> </v>
      </c>
      <c r="F594" s="96" t="str">
        <f t="shared" si="20"/>
        <v xml:space="preserve"> </v>
      </c>
    </row>
    <row r="595" spans="5:6" x14ac:dyDescent="0.35">
      <c r="E595" s="96" t="str">
        <f t="shared" si="20"/>
        <v xml:space="preserve"> </v>
      </c>
      <c r="F595" s="96" t="str">
        <f t="shared" si="20"/>
        <v xml:space="preserve"> </v>
      </c>
    </row>
    <row r="596" spans="5:6" x14ac:dyDescent="0.35">
      <c r="E596" s="96" t="str">
        <f t="shared" si="20"/>
        <v xml:space="preserve"> </v>
      </c>
      <c r="F596" s="96" t="str">
        <f t="shared" si="20"/>
        <v xml:space="preserve"> </v>
      </c>
    </row>
    <row r="597" spans="5:6" x14ac:dyDescent="0.35">
      <c r="E597" s="96" t="str">
        <f t="shared" si="20"/>
        <v xml:space="preserve"> </v>
      </c>
      <c r="F597" s="96" t="str">
        <f t="shared" si="20"/>
        <v xml:space="preserve"> </v>
      </c>
    </row>
    <row r="598" spans="5:6" x14ac:dyDescent="0.35">
      <c r="E598" s="96" t="str">
        <f t="shared" si="20"/>
        <v xml:space="preserve"> </v>
      </c>
      <c r="F598" s="96" t="str">
        <f t="shared" si="20"/>
        <v xml:space="preserve"> </v>
      </c>
    </row>
    <row r="599" spans="5:6" x14ac:dyDescent="0.35">
      <c r="E599" s="96" t="str">
        <f t="shared" ref="E599:F662" si="21">IF((IFERROR(C599/C598-1," "))=-1," ",IFERROR(C599/C598-1," "))</f>
        <v xml:space="preserve"> </v>
      </c>
      <c r="F599" s="96" t="str">
        <f t="shared" si="21"/>
        <v xml:space="preserve"> </v>
      </c>
    </row>
    <row r="600" spans="5:6" x14ac:dyDescent="0.35">
      <c r="E600" s="96" t="str">
        <f t="shared" si="21"/>
        <v xml:space="preserve"> </v>
      </c>
      <c r="F600" s="96" t="str">
        <f t="shared" si="21"/>
        <v xml:space="preserve"> </v>
      </c>
    </row>
    <row r="601" spans="5:6" x14ac:dyDescent="0.35">
      <c r="E601" s="96" t="str">
        <f t="shared" si="21"/>
        <v xml:space="preserve"> </v>
      </c>
      <c r="F601" s="96" t="str">
        <f t="shared" si="21"/>
        <v xml:space="preserve"> </v>
      </c>
    </row>
    <row r="602" spans="5:6" x14ac:dyDescent="0.35">
      <c r="E602" s="96" t="str">
        <f t="shared" si="21"/>
        <v xml:space="preserve"> </v>
      </c>
      <c r="F602" s="96" t="str">
        <f t="shared" si="21"/>
        <v xml:space="preserve"> </v>
      </c>
    </row>
    <row r="603" spans="5:6" x14ac:dyDescent="0.35">
      <c r="E603" s="96" t="str">
        <f t="shared" si="21"/>
        <v xml:space="preserve"> </v>
      </c>
      <c r="F603" s="96" t="str">
        <f t="shared" si="21"/>
        <v xml:space="preserve"> </v>
      </c>
    </row>
    <row r="604" spans="5:6" x14ac:dyDescent="0.35">
      <c r="E604" s="96" t="str">
        <f t="shared" si="21"/>
        <v xml:space="preserve"> </v>
      </c>
      <c r="F604" s="96" t="str">
        <f t="shared" si="21"/>
        <v xml:space="preserve"> </v>
      </c>
    </row>
    <row r="605" spans="5:6" x14ac:dyDescent="0.35">
      <c r="E605" s="96" t="str">
        <f t="shared" si="21"/>
        <v xml:space="preserve"> </v>
      </c>
      <c r="F605" s="96" t="str">
        <f t="shared" si="21"/>
        <v xml:space="preserve"> </v>
      </c>
    </row>
    <row r="606" spans="5:6" x14ac:dyDescent="0.35">
      <c r="E606" s="96" t="str">
        <f t="shared" si="21"/>
        <v xml:space="preserve"> </v>
      </c>
      <c r="F606" s="96" t="str">
        <f t="shared" si="21"/>
        <v xml:space="preserve"> </v>
      </c>
    </row>
    <row r="607" spans="5:6" x14ac:dyDescent="0.35">
      <c r="E607" s="96" t="str">
        <f t="shared" si="21"/>
        <v xml:space="preserve"> </v>
      </c>
      <c r="F607" s="96" t="str">
        <f t="shared" si="21"/>
        <v xml:space="preserve"> </v>
      </c>
    </row>
    <row r="608" spans="5:6" x14ac:dyDescent="0.35">
      <c r="E608" s="96" t="str">
        <f t="shared" si="21"/>
        <v xml:space="preserve"> </v>
      </c>
      <c r="F608" s="96" t="str">
        <f t="shared" si="21"/>
        <v xml:space="preserve"> </v>
      </c>
    </row>
    <row r="609" spans="5:6" x14ac:dyDescent="0.35">
      <c r="E609" s="96" t="str">
        <f t="shared" si="21"/>
        <v xml:space="preserve"> </v>
      </c>
      <c r="F609" s="96" t="str">
        <f t="shared" si="21"/>
        <v xml:space="preserve"> </v>
      </c>
    </row>
    <row r="610" spans="5:6" x14ac:dyDescent="0.35">
      <c r="E610" s="96" t="str">
        <f t="shared" si="21"/>
        <v xml:space="preserve"> </v>
      </c>
      <c r="F610" s="96" t="str">
        <f t="shared" si="21"/>
        <v xml:space="preserve"> </v>
      </c>
    </row>
    <row r="611" spans="5:6" x14ac:dyDescent="0.35">
      <c r="E611" s="96" t="str">
        <f t="shared" si="21"/>
        <v xml:space="preserve"> </v>
      </c>
      <c r="F611" s="96" t="str">
        <f t="shared" si="21"/>
        <v xml:space="preserve"> </v>
      </c>
    </row>
    <row r="612" spans="5:6" x14ac:dyDescent="0.35">
      <c r="E612" s="96" t="str">
        <f t="shared" si="21"/>
        <v xml:space="preserve"> </v>
      </c>
      <c r="F612" s="96" t="str">
        <f t="shared" si="21"/>
        <v xml:space="preserve"> </v>
      </c>
    </row>
    <row r="613" spans="5:6" x14ac:dyDescent="0.35">
      <c r="E613" s="96" t="str">
        <f t="shared" si="21"/>
        <v xml:space="preserve"> </v>
      </c>
      <c r="F613" s="96" t="str">
        <f t="shared" si="21"/>
        <v xml:space="preserve"> </v>
      </c>
    </row>
    <row r="614" spans="5:6" x14ac:dyDescent="0.35">
      <c r="E614" s="96" t="str">
        <f t="shared" si="21"/>
        <v xml:space="preserve"> </v>
      </c>
      <c r="F614" s="96" t="str">
        <f t="shared" si="21"/>
        <v xml:space="preserve"> </v>
      </c>
    </row>
    <row r="615" spans="5:6" x14ac:dyDescent="0.35">
      <c r="E615" s="96" t="str">
        <f t="shared" si="21"/>
        <v xml:space="preserve"> </v>
      </c>
      <c r="F615" s="96" t="str">
        <f t="shared" si="21"/>
        <v xml:space="preserve"> </v>
      </c>
    </row>
    <row r="616" spans="5:6" x14ac:dyDescent="0.35">
      <c r="E616" s="96" t="str">
        <f t="shared" si="21"/>
        <v xml:space="preserve"> </v>
      </c>
      <c r="F616" s="96" t="str">
        <f t="shared" si="21"/>
        <v xml:space="preserve"> </v>
      </c>
    </row>
    <row r="617" spans="5:6" x14ac:dyDescent="0.35">
      <c r="E617" s="96" t="str">
        <f t="shared" si="21"/>
        <v xml:space="preserve"> </v>
      </c>
      <c r="F617" s="96" t="str">
        <f t="shared" si="21"/>
        <v xml:space="preserve"> </v>
      </c>
    </row>
    <row r="618" spans="5:6" x14ac:dyDescent="0.35">
      <c r="E618" s="96" t="str">
        <f t="shared" si="21"/>
        <v xml:space="preserve"> </v>
      </c>
      <c r="F618" s="96" t="str">
        <f t="shared" si="21"/>
        <v xml:space="preserve"> </v>
      </c>
    </row>
    <row r="619" spans="5:6" x14ac:dyDescent="0.35">
      <c r="E619" s="96" t="str">
        <f t="shared" si="21"/>
        <v xml:space="preserve"> </v>
      </c>
      <c r="F619" s="96" t="str">
        <f t="shared" si="21"/>
        <v xml:space="preserve"> </v>
      </c>
    </row>
    <row r="620" spans="5:6" x14ac:dyDescent="0.35">
      <c r="E620" s="96" t="str">
        <f t="shared" si="21"/>
        <v xml:space="preserve"> </v>
      </c>
      <c r="F620" s="96" t="str">
        <f t="shared" si="21"/>
        <v xml:space="preserve"> </v>
      </c>
    </row>
    <row r="621" spans="5:6" x14ac:dyDescent="0.35">
      <c r="E621" s="96" t="str">
        <f t="shared" si="21"/>
        <v xml:space="preserve"> </v>
      </c>
      <c r="F621" s="96" t="str">
        <f t="shared" si="21"/>
        <v xml:space="preserve"> </v>
      </c>
    </row>
    <row r="622" spans="5:6" x14ac:dyDescent="0.35">
      <c r="E622" s="96" t="str">
        <f t="shared" si="21"/>
        <v xml:space="preserve"> </v>
      </c>
      <c r="F622" s="96" t="str">
        <f t="shared" si="21"/>
        <v xml:space="preserve"> </v>
      </c>
    </row>
    <row r="623" spans="5:6" x14ac:dyDescent="0.35">
      <c r="E623" s="96" t="str">
        <f t="shared" si="21"/>
        <v xml:space="preserve"> </v>
      </c>
      <c r="F623" s="96" t="str">
        <f t="shared" si="21"/>
        <v xml:space="preserve"> </v>
      </c>
    </row>
    <row r="624" spans="5:6" x14ac:dyDescent="0.35">
      <c r="E624" s="96" t="str">
        <f t="shared" si="21"/>
        <v xml:space="preserve"> </v>
      </c>
      <c r="F624" s="96" t="str">
        <f t="shared" si="21"/>
        <v xml:space="preserve"> </v>
      </c>
    </row>
    <row r="625" spans="5:6" x14ac:dyDescent="0.35">
      <c r="E625" s="96" t="str">
        <f t="shared" si="21"/>
        <v xml:space="preserve"> </v>
      </c>
      <c r="F625" s="96" t="str">
        <f t="shared" si="21"/>
        <v xml:space="preserve"> </v>
      </c>
    </row>
    <row r="626" spans="5:6" x14ac:dyDescent="0.35">
      <c r="E626" s="96" t="str">
        <f t="shared" si="21"/>
        <v xml:space="preserve"> </v>
      </c>
      <c r="F626" s="96" t="str">
        <f t="shared" si="21"/>
        <v xml:space="preserve"> </v>
      </c>
    </row>
    <row r="627" spans="5:6" x14ac:dyDescent="0.35">
      <c r="E627" s="96" t="str">
        <f t="shared" si="21"/>
        <v xml:space="preserve"> </v>
      </c>
      <c r="F627" s="96" t="str">
        <f t="shared" si="21"/>
        <v xml:space="preserve"> </v>
      </c>
    </row>
    <row r="628" spans="5:6" x14ac:dyDescent="0.35">
      <c r="E628" s="96" t="str">
        <f t="shared" si="21"/>
        <v xml:space="preserve"> </v>
      </c>
      <c r="F628" s="96" t="str">
        <f t="shared" si="21"/>
        <v xml:space="preserve"> </v>
      </c>
    </row>
    <row r="629" spans="5:6" x14ac:dyDescent="0.35">
      <c r="E629" s="96" t="str">
        <f t="shared" si="21"/>
        <v xml:space="preserve"> </v>
      </c>
      <c r="F629" s="96" t="str">
        <f t="shared" si="21"/>
        <v xml:space="preserve"> </v>
      </c>
    </row>
    <row r="630" spans="5:6" x14ac:dyDescent="0.35">
      <c r="E630" s="96" t="str">
        <f t="shared" si="21"/>
        <v xml:space="preserve"> </v>
      </c>
      <c r="F630" s="96" t="str">
        <f t="shared" si="21"/>
        <v xml:space="preserve"> </v>
      </c>
    </row>
    <row r="631" spans="5:6" x14ac:dyDescent="0.35">
      <c r="E631" s="96" t="str">
        <f t="shared" si="21"/>
        <v xml:space="preserve"> </v>
      </c>
      <c r="F631" s="96" t="str">
        <f t="shared" si="21"/>
        <v xml:space="preserve"> </v>
      </c>
    </row>
    <row r="632" spans="5:6" x14ac:dyDescent="0.35">
      <c r="E632" s="96" t="str">
        <f t="shared" si="21"/>
        <v xml:space="preserve"> </v>
      </c>
      <c r="F632" s="96" t="str">
        <f t="shared" si="21"/>
        <v xml:space="preserve"> </v>
      </c>
    </row>
    <row r="633" spans="5:6" x14ac:dyDescent="0.35">
      <c r="E633" s="96" t="str">
        <f t="shared" si="21"/>
        <v xml:space="preserve"> </v>
      </c>
      <c r="F633" s="96" t="str">
        <f t="shared" si="21"/>
        <v xml:space="preserve"> </v>
      </c>
    </row>
    <row r="634" spans="5:6" x14ac:dyDescent="0.35">
      <c r="E634" s="96" t="str">
        <f t="shared" si="21"/>
        <v xml:space="preserve"> </v>
      </c>
      <c r="F634" s="96" t="str">
        <f t="shared" si="21"/>
        <v xml:space="preserve"> </v>
      </c>
    </row>
    <row r="635" spans="5:6" x14ac:dyDescent="0.35">
      <c r="E635" s="96" t="str">
        <f t="shared" si="21"/>
        <v xml:space="preserve"> </v>
      </c>
      <c r="F635" s="96" t="str">
        <f t="shared" si="21"/>
        <v xml:space="preserve"> </v>
      </c>
    </row>
    <row r="636" spans="5:6" x14ac:dyDescent="0.35">
      <c r="E636" s="96" t="str">
        <f t="shared" si="21"/>
        <v xml:space="preserve"> </v>
      </c>
      <c r="F636" s="96" t="str">
        <f t="shared" si="21"/>
        <v xml:space="preserve"> </v>
      </c>
    </row>
    <row r="637" spans="5:6" x14ac:dyDescent="0.35">
      <c r="E637" s="96" t="str">
        <f t="shared" si="21"/>
        <v xml:space="preserve"> </v>
      </c>
      <c r="F637" s="96" t="str">
        <f t="shared" si="21"/>
        <v xml:space="preserve"> </v>
      </c>
    </row>
    <row r="638" spans="5:6" x14ac:dyDescent="0.35">
      <c r="E638" s="96" t="str">
        <f t="shared" si="21"/>
        <v xml:space="preserve"> </v>
      </c>
      <c r="F638" s="96" t="str">
        <f t="shared" si="21"/>
        <v xml:space="preserve"> </v>
      </c>
    </row>
    <row r="639" spans="5:6" x14ac:dyDescent="0.35">
      <c r="E639" s="96" t="str">
        <f t="shared" si="21"/>
        <v xml:space="preserve"> </v>
      </c>
      <c r="F639" s="96" t="str">
        <f t="shared" si="21"/>
        <v xml:space="preserve"> </v>
      </c>
    </row>
    <row r="640" spans="5:6" x14ac:dyDescent="0.35">
      <c r="E640" s="96" t="str">
        <f t="shared" si="21"/>
        <v xml:space="preserve"> </v>
      </c>
      <c r="F640" s="96" t="str">
        <f t="shared" si="21"/>
        <v xml:space="preserve"> </v>
      </c>
    </row>
    <row r="641" spans="5:6" x14ac:dyDescent="0.35">
      <c r="E641" s="96" t="str">
        <f t="shared" si="21"/>
        <v xml:space="preserve"> </v>
      </c>
      <c r="F641" s="96" t="str">
        <f t="shared" si="21"/>
        <v xml:space="preserve"> </v>
      </c>
    </row>
    <row r="642" spans="5:6" x14ac:dyDescent="0.35">
      <c r="E642" s="96" t="str">
        <f t="shared" si="21"/>
        <v xml:space="preserve"> </v>
      </c>
      <c r="F642" s="96" t="str">
        <f t="shared" si="21"/>
        <v xml:space="preserve"> </v>
      </c>
    </row>
    <row r="643" spans="5:6" x14ac:dyDescent="0.35">
      <c r="E643" s="96" t="str">
        <f t="shared" si="21"/>
        <v xml:space="preserve"> </v>
      </c>
      <c r="F643" s="96" t="str">
        <f t="shared" si="21"/>
        <v xml:space="preserve"> </v>
      </c>
    </row>
    <row r="644" spans="5:6" x14ac:dyDescent="0.35">
      <c r="E644" s="96" t="str">
        <f t="shared" si="21"/>
        <v xml:space="preserve"> </v>
      </c>
      <c r="F644" s="96" t="str">
        <f t="shared" si="21"/>
        <v xml:space="preserve"> </v>
      </c>
    </row>
    <row r="645" spans="5:6" x14ac:dyDescent="0.35">
      <c r="E645" s="96" t="str">
        <f t="shared" si="21"/>
        <v xml:space="preserve"> </v>
      </c>
      <c r="F645" s="96" t="str">
        <f t="shared" si="21"/>
        <v xml:space="preserve"> </v>
      </c>
    </row>
    <row r="646" spans="5:6" x14ac:dyDescent="0.35">
      <c r="E646" s="96" t="str">
        <f t="shared" si="21"/>
        <v xml:space="preserve"> </v>
      </c>
      <c r="F646" s="96" t="str">
        <f t="shared" si="21"/>
        <v xml:space="preserve"> </v>
      </c>
    </row>
    <row r="647" spans="5:6" x14ac:dyDescent="0.35">
      <c r="E647" s="96" t="str">
        <f t="shared" si="21"/>
        <v xml:space="preserve"> </v>
      </c>
      <c r="F647" s="96" t="str">
        <f t="shared" si="21"/>
        <v xml:space="preserve"> </v>
      </c>
    </row>
    <row r="648" spans="5:6" x14ac:dyDescent="0.35">
      <c r="E648" s="96" t="str">
        <f t="shared" si="21"/>
        <v xml:space="preserve"> </v>
      </c>
      <c r="F648" s="96" t="str">
        <f t="shared" si="21"/>
        <v xml:space="preserve"> </v>
      </c>
    </row>
    <row r="649" spans="5:6" x14ac:dyDescent="0.35">
      <c r="E649" s="96" t="str">
        <f t="shared" si="21"/>
        <v xml:space="preserve"> </v>
      </c>
      <c r="F649" s="96" t="str">
        <f t="shared" si="21"/>
        <v xml:space="preserve"> </v>
      </c>
    </row>
    <row r="650" spans="5:6" x14ac:dyDescent="0.35">
      <c r="E650" s="96" t="str">
        <f t="shared" si="21"/>
        <v xml:space="preserve"> </v>
      </c>
      <c r="F650" s="96" t="str">
        <f t="shared" si="21"/>
        <v xml:space="preserve"> </v>
      </c>
    </row>
    <row r="651" spans="5:6" x14ac:dyDescent="0.35">
      <c r="E651" s="96" t="str">
        <f t="shared" si="21"/>
        <v xml:space="preserve"> </v>
      </c>
      <c r="F651" s="96" t="str">
        <f t="shared" si="21"/>
        <v xml:space="preserve"> </v>
      </c>
    </row>
    <row r="652" spans="5:6" x14ac:dyDescent="0.35">
      <c r="E652" s="96" t="str">
        <f t="shared" si="21"/>
        <v xml:space="preserve"> </v>
      </c>
      <c r="F652" s="96" t="str">
        <f t="shared" si="21"/>
        <v xml:space="preserve"> </v>
      </c>
    </row>
    <row r="653" spans="5:6" x14ac:dyDescent="0.35">
      <c r="E653" s="96" t="str">
        <f t="shared" si="21"/>
        <v xml:space="preserve"> </v>
      </c>
      <c r="F653" s="96" t="str">
        <f t="shared" si="21"/>
        <v xml:space="preserve"> </v>
      </c>
    </row>
    <row r="654" spans="5:6" x14ac:dyDescent="0.35">
      <c r="E654" s="96" t="str">
        <f t="shared" si="21"/>
        <v xml:space="preserve"> </v>
      </c>
      <c r="F654" s="96" t="str">
        <f t="shared" si="21"/>
        <v xml:space="preserve"> </v>
      </c>
    </row>
    <row r="655" spans="5:6" x14ac:dyDescent="0.35">
      <c r="E655" s="96" t="str">
        <f t="shared" si="21"/>
        <v xml:space="preserve"> </v>
      </c>
      <c r="F655" s="96" t="str">
        <f t="shared" si="21"/>
        <v xml:space="preserve"> </v>
      </c>
    </row>
    <row r="656" spans="5:6" x14ac:dyDescent="0.35">
      <c r="E656" s="96" t="str">
        <f t="shared" si="21"/>
        <v xml:space="preserve"> </v>
      </c>
      <c r="F656" s="96" t="str">
        <f t="shared" si="21"/>
        <v xml:space="preserve"> </v>
      </c>
    </row>
    <row r="657" spans="5:6" x14ac:dyDescent="0.35">
      <c r="E657" s="96" t="str">
        <f t="shared" si="21"/>
        <v xml:space="preserve"> </v>
      </c>
      <c r="F657" s="96" t="str">
        <f t="shared" si="21"/>
        <v xml:space="preserve"> </v>
      </c>
    </row>
    <row r="658" spans="5:6" x14ac:dyDescent="0.35">
      <c r="E658" s="96" t="str">
        <f t="shared" si="21"/>
        <v xml:space="preserve"> </v>
      </c>
      <c r="F658" s="96" t="str">
        <f t="shared" si="21"/>
        <v xml:space="preserve"> </v>
      </c>
    </row>
    <row r="659" spans="5:6" x14ac:dyDescent="0.35">
      <c r="E659" s="96" t="str">
        <f t="shared" si="21"/>
        <v xml:space="preserve"> </v>
      </c>
      <c r="F659" s="96" t="str">
        <f t="shared" si="21"/>
        <v xml:space="preserve"> </v>
      </c>
    </row>
    <row r="660" spans="5:6" x14ac:dyDescent="0.35">
      <c r="E660" s="96" t="str">
        <f t="shared" si="21"/>
        <v xml:space="preserve"> </v>
      </c>
      <c r="F660" s="96" t="str">
        <f t="shared" si="21"/>
        <v xml:space="preserve"> </v>
      </c>
    </row>
    <row r="661" spans="5:6" x14ac:dyDescent="0.35">
      <c r="E661" s="96" t="str">
        <f t="shared" si="21"/>
        <v xml:space="preserve"> </v>
      </c>
      <c r="F661" s="96" t="str">
        <f t="shared" si="21"/>
        <v xml:space="preserve"> </v>
      </c>
    </row>
    <row r="662" spans="5:6" x14ac:dyDescent="0.35">
      <c r="E662" s="96" t="str">
        <f t="shared" si="21"/>
        <v xml:space="preserve"> </v>
      </c>
      <c r="F662" s="96" t="str">
        <f t="shared" si="21"/>
        <v xml:space="preserve"> </v>
      </c>
    </row>
    <row r="663" spans="5:6" x14ac:dyDescent="0.35">
      <c r="E663" s="96" t="str">
        <f t="shared" ref="E663:F726" si="22">IF((IFERROR(C663/C662-1," "))=-1," ",IFERROR(C663/C662-1," "))</f>
        <v xml:space="preserve"> </v>
      </c>
      <c r="F663" s="96" t="str">
        <f t="shared" si="22"/>
        <v xml:space="preserve"> </v>
      </c>
    </row>
    <row r="664" spans="5:6" x14ac:dyDescent="0.35">
      <c r="E664" s="96" t="str">
        <f t="shared" si="22"/>
        <v xml:space="preserve"> </v>
      </c>
      <c r="F664" s="96" t="str">
        <f t="shared" si="22"/>
        <v xml:space="preserve"> </v>
      </c>
    </row>
    <row r="665" spans="5:6" x14ac:dyDescent="0.35">
      <c r="E665" s="96" t="str">
        <f t="shared" si="22"/>
        <v xml:space="preserve"> </v>
      </c>
      <c r="F665" s="96" t="str">
        <f t="shared" si="22"/>
        <v xml:space="preserve"> </v>
      </c>
    </row>
    <row r="666" spans="5:6" x14ac:dyDescent="0.35">
      <c r="E666" s="96" t="str">
        <f t="shared" si="22"/>
        <v xml:space="preserve"> </v>
      </c>
      <c r="F666" s="96" t="str">
        <f t="shared" si="22"/>
        <v xml:space="preserve"> </v>
      </c>
    </row>
    <row r="667" spans="5:6" x14ac:dyDescent="0.35">
      <c r="E667" s="96" t="str">
        <f t="shared" si="22"/>
        <v xml:space="preserve"> </v>
      </c>
      <c r="F667" s="96" t="str">
        <f t="shared" si="22"/>
        <v xml:space="preserve"> </v>
      </c>
    </row>
    <row r="668" spans="5:6" x14ac:dyDescent="0.35">
      <c r="E668" s="96" t="str">
        <f t="shared" si="22"/>
        <v xml:space="preserve"> </v>
      </c>
      <c r="F668" s="96" t="str">
        <f t="shared" si="22"/>
        <v xml:space="preserve"> </v>
      </c>
    </row>
    <row r="669" spans="5:6" x14ac:dyDescent="0.35">
      <c r="E669" s="96" t="str">
        <f t="shared" si="22"/>
        <v xml:space="preserve"> </v>
      </c>
      <c r="F669" s="96" t="str">
        <f t="shared" si="22"/>
        <v xml:space="preserve"> </v>
      </c>
    </row>
    <row r="670" spans="5:6" x14ac:dyDescent="0.35">
      <c r="E670" s="96" t="str">
        <f t="shared" si="22"/>
        <v xml:space="preserve"> </v>
      </c>
      <c r="F670" s="96" t="str">
        <f t="shared" si="22"/>
        <v xml:space="preserve"> </v>
      </c>
    </row>
    <row r="671" spans="5:6" x14ac:dyDescent="0.35">
      <c r="E671" s="96" t="str">
        <f t="shared" si="22"/>
        <v xml:space="preserve"> </v>
      </c>
      <c r="F671" s="96" t="str">
        <f t="shared" si="22"/>
        <v xml:space="preserve"> </v>
      </c>
    </row>
    <row r="672" spans="5:6" x14ac:dyDescent="0.35">
      <c r="E672" s="96" t="str">
        <f t="shared" si="22"/>
        <v xml:space="preserve"> </v>
      </c>
      <c r="F672" s="96" t="str">
        <f t="shared" si="22"/>
        <v xml:space="preserve"> </v>
      </c>
    </row>
    <row r="673" spans="5:6" x14ac:dyDescent="0.35">
      <c r="E673" s="96" t="str">
        <f t="shared" si="22"/>
        <v xml:space="preserve"> </v>
      </c>
      <c r="F673" s="96" t="str">
        <f t="shared" si="22"/>
        <v xml:space="preserve"> </v>
      </c>
    </row>
    <row r="674" spans="5:6" x14ac:dyDescent="0.35">
      <c r="E674" s="96" t="str">
        <f t="shared" si="22"/>
        <v xml:space="preserve"> </v>
      </c>
      <c r="F674" s="96" t="str">
        <f t="shared" si="22"/>
        <v xml:space="preserve"> </v>
      </c>
    </row>
    <row r="675" spans="5:6" x14ac:dyDescent="0.35">
      <c r="E675" s="96" t="str">
        <f t="shared" si="22"/>
        <v xml:space="preserve"> </v>
      </c>
      <c r="F675" s="96" t="str">
        <f t="shared" si="22"/>
        <v xml:space="preserve"> </v>
      </c>
    </row>
    <row r="676" spans="5:6" x14ac:dyDescent="0.35">
      <c r="E676" s="96" t="str">
        <f t="shared" si="22"/>
        <v xml:space="preserve"> </v>
      </c>
      <c r="F676" s="96" t="str">
        <f t="shared" si="22"/>
        <v xml:space="preserve"> </v>
      </c>
    </row>
    <row r="677" spans="5:6" x14ac:dyDescent="0.35">
      <c r="E677" s="96" t="str">
        <f t="shared" si="22"/>
        <v xml:space="preserve"> </v>
      </c>
      <c r="F677" s="96" t="str">
        <f t="shared" si="22"/>
        <v xml:space="preserve"> </v>
      </c>
    </row>
    <row r="678" spans="5:6" x14ac:dyDescent="0.35">
      <c r="E678" s="96" t="str">
        <f t="shared" si="22"/>
        <v xml:space="preserve"> </v>
      </c>
      <c r="F678" s="96" t="str">
        <f t="shared" si="22"/>
        <v xml:space="preserve"> </v>
      </c>
    </row>
    <row r="679" spans="5:6" x14ac:dyDescent="0.35">
      <c r="E679" s="96" t="str">
        <f t="shared" si="22"/>
        <v xml:space="preserve"> </v>
      </c>
      <c r="F679" s="96" t="str">
        <f t="shared" si="22"/>
        <v xml:space="preserve"> </v>
      </c>
    </row>
    <row r="680" spans="5:6" x14ac:dyDescent="0.35">
      <c r="E680" s="96" t="str">
        <f t="shared" si="22"/>
        <v xml:space="preserve"> </v>
      </c>
      <c r="F680" s="96" t="str">
        <f t="shared" si="22"/>
        <v xml:space="preserve"> </v>
      </c>
    </row>
    <row r="681" spans="5:6" x14ac:dyDescent="0.35">
      <c r="E681" s="96" t="str">
        <f t="shared" si="22"/>
        <v xml:space="preserve"> </v>
      </c>
      <c r="F681" s="96" t="str">
        <f t="shared" si="22"/>
        <v xml:space="preserve"> </v>
      </c>
    </row>
    <row r="682" spans="5:6" x14ac:dyDescent="0.35">
      <c r="E682" s="96" t="str">
        <f t="shared" si="22"/>
        <v xml:space="preserve"> </v>
      </c>
      <c r="F682" s="96" t="str">
        <f t="shared" si="22"/>
        <v xml:space="preserve"> </v>
      </c>
    </row>
    <row r="683" spans="5:6" x14ac:dyDescent="0.35">
      <c r="E683" s="96" t="str">
        <f t="shared" si="22"/>
        <v xml:space="preserve"> </v>
      </c>
      <c r="F683" s="96" t="str">
        <f t="shared" si="22"/>
        <v xml:space="preserve"> </v>
      </c>
    </row>
    <row r="684" spans="5:6" x14ac:dyDescent="0.35">
      <c r="E684" s="96" t="str">
        <f t="shared" si="22"/>
        <v xml:space="preserve"> </v>
      </c>
      <c r="F684" s="96" t="str">
        <f t="shared" si="22"/>
        <v xml:space="preserve"> </v>
      </c>
    </row>
    <row r="685" spans="5:6" x14ac:dyDescent="0.35">
      <c r="E685" s="96" t="str">
        <f t="shared" si="22"/>
        <v xml:space="preserve"> </v>
      </c>
      <c r="F685" s="96" t="str">
        <f t="shared" si="22"/>
        <v xml:space="preserve"> </v>
      </c>
    </row>
    <row r="686" spans="5:6" x14ac:dyDescent="0.35">
      <c r="E686" s="96" t="str">
        <f t="shared" si="22"/>
        <v xml:space="preserve"> </v>
      </c>
      <c r="F686" s="96" t="str">
        <f t="shared" si="22"/>
        <v xml:space="preserve"> </v>
      </c>
    </row>
    <row r="687" spans="5:6" x14ac:dyDescent="0.35">
      <c r="E687" s="96" t="str">
        <f t="shared" si="22"/>
        <v xml:space="preserve"> </v>
      </c>
      <c r="F687" s="96" t="str">
        <f t="shared" si="22"/>
        <v xml:space="preserve"> </v>
      </c>
    </row>
    <row r="688" spans="5:6" x14ac:dyDescent="0.35">
      <c r="E688" s="96" t="str">
        <f t="shared" si="22"/>
        <v xml:space="preserve"> </v>
      </c>
      <c r="F688" s="96" t="str">
        <f t="shared" si="22"/>
        <v xml:space="preserve"> </v>
      </c>
    </row>
    <row r="689" spans="5:6" x14ac:dyDescent="0.35">
      <c r="E689" s="96" t="str">
        <f t="shared" si="22"/>
        <v xml:space="preserve"> </v>
      </c>
      <c r="F689" s="96" t="str">
        <f t="shared" si="22"/>
        <v xml:space="preserve"> </v>
      </c>
    </row>
    <row r="690" spans="5:6" x14ac:dyDescent="0.35">
      <c r="E690" s="96" t="str">
        <f t="shared" si="22"/>
        <v xml:space="preserve"> </v>
      </c>
      <c r="F690" s="96" t="str">
        <f t="shared" si="22"/>
        <v xml:space="preserve"> </v>
      </c>
    </row>
    <row r="691" spans="5:6" x14ac:dyDescent="0.35">
      <c r="E691" s="96" t="str">
        <f t="shared" si="22"/>
        <v xml:space="preserve"> </v>
      </c>
      <c r="F691" s="96" t="str">
        <f t="shared" si="22"/>
        <v xml:space="preserve"> </v>
      </c>
    </row>
    <row r="692" spans="5:6" x14ac:dyDescent="0.35">
      <c r="E692" s="96" t="str">
        <f t="shared" si="22"/>
        <v xml:space="preserve"> </v>
      </c>
      <c r="F692" s="96" t="str">
        <f t="shared" si="22"/>
        <v xml:space="preserve"> </v>
      </c>
    </row>
    <row r="693" spans="5:6" x14ac:dyDescent="0.35">
      <c r="E693" s="96" t="str">
        <f t="shared" si="22"/>
        <v xml:space="preserve"> </v>
      </c>
      <c r="F693" s="96" t="str">
        <f t="shared" si="22"/>
        <v xml:space="preserve"> </v>
      </c>
    </row>
    <row r="694" spans="5:6" x14ac:dyDescent="0.35">
      <c r="E694" s="96" t="str">
        <f t="shared" si="22"/>
        <v xml:space="preserve"> </v>
      </c>
      <c r="F694" s="96" t="str">
        <f t="shared" si="22"/>
        <v xml:space="preserve"> </v>
      </c>
    </row>
    <row r="695" spans="5:6" x14ac:dyDescent="0.35">
      <c r="E695" s="96" t="str">
        <f t="shared" si="22"/>
        <v xml:space="preserve"> </v>
      </c>
      <c r="F695" s="96" t="str">
        <f t="shared" si="22"/>
        <v xml:space="preserve"> </v>
      </c>
    </row>
    <row r="696" spans="5:6" x14ac:dyDescent="0.35">
      <c r="E696" s="96" t="str">
        <f t="shared" si="22"/>
        <v xml:space="preserve"> </v>
      </c>
      <c r="F696" s="96" t="str">
        <f t="shared" si="22"/>
        <v xml:space="preserve"> </v>
      </c>
    </row>
    <row r="697" spans="5:6" x14ac:dyDescent="0.35">
      <c r="E697" s="96" t="str">
        <f t="shared" si="22"/>
        <v xml:space="preserve"> </v>
      </c>
      <c r="F697" s="96" t="str">
        <f t="shared" si="22"/>
        <v xml:space="preserve"> </v>
      </c>
    </row>
    <row r="698" spans="5:6" x14ac:dyDescent="0.35">
      <c r="E698" s="96" t="str">
        <f t="shared" si="22"/>
        <v xml:space="preserve"> </v>
      </c>
      <c r="F698" s="96" t="str">
        <f t="shared" si="22"/>
        <v xml:space="preserve"> </v>
      </c>
    </row>
    <row r="699" spans="5:6" x14ac:dyDescent="0.35">
      <c r="E699" s="96" t="str">
        <f t="shared" si="22"/>
        <v xml:space="preserve"> </v>
      </c>
      <c r="F699" s="96" t="str">
        <f t="shared" si="22"/>
        <v xml:space="preserve"> </v>
      </c>
    </row>
    <row r="700" spans="5:6" x14ac:dyDescent="0.35">
      <c r="E700" s="96" t="str">
        <f t="shared" si="22"/>
        <v xml:space="preserve"> </v>
      </c>
      <c r="F700" s="96" t="str">
        <f t="shared" si="22"/>
        <v xml:space="preserve"> </v>
      </c>
    </row>
    <row r="701" spans="5:6" x14ac:dyDescent="0.35">
      <c r="E701" s="96" t="str">
        <f t="shared" si="22"/>
        <v xml:space="preserve"> </v>
      </c>
      <c r="F701" s="96" t="str">
        <f t="shared" si="22"/>
        <v xml:space="preserve"> </v>
      </c>
    </row>
    <row r="702" spans="5:6" x14ac:dyDescent="0.35">
      <c r="E702" s="96" t="str">
        <f t="shared" si="22"/>
        <v xml:space="preserve"> </v>
      </c>
      <c r="F702" s="96" t="str">
        <f t="shared" si="22"/>
        <v xml:space="preserve"> </v>
      </c>
    </row>
    <row r="703" spans="5:6" x14ac:dyDescent="0.35">
      <c r="E703" s="96" t="str">
        <f t="shared" si="22"/>
        <v xml:space="preserve"> </v>
      </c>
      <c r="F703" s="96" t="str">
        <f t="shared" si="22"/>
        <v xml:space="preserve"> </v>
      </c>
    </row>
    <row r="704" spans="5:6" x14ac:dyDescent="0.35">
      <c r="E704" s="96" t="str">
        <f t="shared" si="22"/>
        <v xml:space="preserve"> </v>
      </c>
      <c r="F704" s="96" t="str">
        <f t="shared" si="22"/>
        <v xml:space="preserve"> </v>
      </c>
    </row>
    <row r="705" spans="5:6" x14ac:dyDescent="0.35">
      <c r="E705" s="96" t="str">
        <f t="shared" si="22"/>
        <v xml:space="preserve"> </v>
      </c>
      <c r="F705" s="96" t="str">
        <f t="shared" si="22"/>
        <v xml:space="preserve"> </v>
      </c>
    </row>
    <row r="706" spans="5:6" x14ac:dyDescent="0.35">
      <c r="E706" s="96" t="str">
        <f t="shared" si="22"/>
        <v xml:space="preserve"> </v>
      </c>
      <c r="F706" s="96" t="str">
        <f t="shared" si="22"/>
        <v xml:space="preserve"> </v>
      </c>
    </row>
    <row r="707" spans="5:6" x14ac:dyDescent="0.35">
      <c r="E707" s="96" t="str">
        <f t="shared" si="22"/>
        <v xml:space="preserve"> </v>
      </c>
      <c r="F707" s="96" t="str">
        <f t="shared" si="22"/>
        <v xml:space="preserve"> </v>
      </c>
    </row>
    <row r="708" spans="5:6" x14ac:dyDescent="0.35">
      <c r="E708" s="96" t="str">
        <f t="shared" si="22"/>
        <v xml:space="preserve"> </v>
      </c>
      <c r="F708" s="96" t="str">
        <f t="shared" si="22"/>
        <v xml:space="preserve"> </v>
      </c>
    </row>
    <row r="709" spans="5:6" x14ac:dyDescent="0.35">
      <c r="E709" s="96" t="str">
        <f t="shared" si="22"/>
        <v xml:space="preserve"> </v>
      </c>
      <c r="F709" s="96" t="str">
        <f t="shared" si="22"/>
        <v xml:space="preserve"> </v>
      </c>
    </row>
    <row r="710" spans="5:6" x14ac:dyDescent="0.35">
      <c r="E710" s="96" t="str">
        <f t="shared" si="22"/>
        <v xml:space="preserve"> </v>
      </c>
      <c r="F710" s="96" t="str">
        <f t="shared" si="22"/>
        <v xml:space="preserve"> </v>
      </c>
    </row>
    <row r="711" spans="5:6" x14ac:dyDescent="0.35">
      <c r="E711" s="96" t="str">
        <f t="shared" si="22"/>
        <v xml:space="preserve"> </v>
      </c>
      <c r="F711" s="96" t="str">
        <f t="shared" si="22"/>
        <v xml:space="preserve"> </v>
      </c>
    </row>
    <row r="712" spans="5:6" x14ac:dyDescent="0.35">
      <c r="E712" s="96" t="str">
        <f t="shared" si="22"/>
        <v xml:space="preserve"> </v>
      </c>
      <c r="F712" s="96" t="str">
        <f t="shared" si="22"/>
        <v xml:space="preserve"> </v>
      </c>
    </row>
    <row r="713" spans="5:6" x14ac:dyDescent="0.35">
      <c r="E713" s="96" t="str">
        <f t="shared" si="22"/>
        <v xml:space="preserve"> </v>
      </c>
      <c r="F713" s="96" t="str">
        <f t="shared" si="22"/>
        <v xml:space="preserve"> </v>
      </c>
    </row>
    <row r="714" spans="5:6" x14ac:dyDescent="0.35">
      <c r="E714" s="96" t="str">
        <f t="shared" si="22"/>
        <v xml:space="preserve"> </v>
      </c>
      <c r="F714" s="96" t="str">
        <f t="shared" si="22"/>
        <v xml:space="preserve"> </v>
      </c>
    </row>
    <row r="715" spans="5:6" x14ac:dyDescent="0.35">
      <c r="E715" s="96" t="str">
        <f t="shared" si="22"/>
        <v xml:space="preserve"> </v>
      </c>
      <c r="F715" s="96" t="str">
        <f t="shared" si="22"/>
        <v xml:space="preserve"> </v>
      </c>
    </row>
    <row r="716" spans="5:6" x14ac:dyDescent="0.35">
      <c r="E716" s="96" t="str">
        <f t="shared" si="22"/>
        <v xml:space="preserve"> </v>
      </c>
      <c r="F716" s="96" t="str">
        <f t="shared" si="22"/>
        <v xml:space="preserve"> </v>
      </c>
    </row>
    <row r="717" spans="5:6" x14ac:dyDescent="0.35">
      <c r="E717" s="96" t="str">
        <f t="shared" si="22"/>
        <v xml:space="preserve"> </v>
      </c>
      <c r="F717" s="96" t="str">
        <f t="shared" si="22"/>
        <v xml:space="preserve"> </v>
      </c>
    </row>
    <row r="718" spans="5:6" x14ac:dyDescent="0.35">
      <c r="E718" s="96" t="str">
        <f t="shared" si="22"/>
        <v xml:space="preserve"> </v>
      </c>
      <c r="F718" s="96" t="str">
        <f t="shared" si="22"/>
        <v xml:space="preserve"> </v>
      </c>
    </row>
    <row r="719" spans="5:6" x14ac:dyDescent="0.35">
      <c r="E719" s="96" t="str">
        <f t="shared" si="22"/>
        <v xml:space="preserve"> </v>
      </c>
      <c r="F719" s="96" t="str">
        <f t="shared" si="22"/>
        <v xml:space="preserve"> </v>
      </c>
    </row>
    <row r="720" spans="5:6" x14ac:dyDescent="0.35">
      <c r="E720" s="96" t="str">
        <f t="shared" si="22"/>
        <v xml:space="preserve"> </v>
      </c>
      <c r="F720" s="96" t="str">
        <f t="shared" si="22"/>
        <v xml:space="preserve"> </v>
      </c>
    </row>
    <row r="721" spans="5:6" x14ac:dyDescent="0.35">
      <c r="E721" s="96" t="str">
        <f t="shared" si="22"/>
        <v xml:space="preserve"> </v>
      </c>
      <c r="F721" s="96" t="str">
        <f t="shared" si="22"/>
        <v xml:space="preserve"> </v>
      </c>
    </row>
    <row r="722" spans="5:6" x14ac:dyDescent="0.35">
      <c r="E722" s="96" t="str">
        <f t="shared" si="22"/>
        <v xml:space="preserve"> </v>
      </c>
      <c r="F722" s="96" t="str">
        <f t="shared" si="22"/>
        <v xml:space="preserve"> </v>
      </c>
    </row>
    <row r="723" spans="5:6" x14ac:dyDescent="0.35">
      <c r="E723" s="96" t="str">
        <f t="shared" si="22"/>
        <v xml:space="preserve"> </v>
      </c>
      <c r="F723" s="96" t="str">
        <f t="shared" si="22"/>
        <v xml:space="preserve"> </v>
      </c>
    </row>
    <row r="724" spans="5:6" x14ac:dyDescent="0.35">
      <c r="E724" s="96" t="str">
        <f t="shared" si="22"/>
        <v xml:space="preserve"> </v>
      </c>
      <c r="F724" s="96" t="str">
        <f t="shared" si="22"/>
        <v xml:space="preserve"> </v>
      </c>
    </row>
    <row r="725" spans="5:6" x14ac:dyDescent="0.35">
      <c r="E725" s="96" t="str">
        <f t="shared" si="22"/>
        <v xml:space="preserve"> </v>
      </c>
      <c r="F725" s="96" t="str">
        <f t="shared" si="22"/>
        <v xml:space="preserve"> </v>
      </c>
    </row>
    <row r="726" spans="5:6" x14ac:dyDescent="0.35">
      <c r="E726" s="96" t="str">
        <f t="shared" si="22"/>
        <v xml:space="preserve"> </v>
      </c>
      <c r="F726" s="96" t="str">
        <f t="shared" si="22"/>
        <v xml:space="preserve"> </v>
      </c>
    </row>
    <row r="727" spans="5:6" x14ac:dyDescent="0.35">
      <c r="E727" s="96" t="str">
        <f t="shared" ref="E727:F790" si="23">IF((IFERROR(C727/C726-1," "))=-1," ",IFERROR(C727/C726-1," "))</f>
        <v xml:space="preserve"> </v>
      </c>
      <c r="F727" s="96" t="str">
        <f t="shared" si="23"/>
        <v xml:space="preserve"> </v>
      </c>
    </row>
    <row r="728" spans="5:6" x14ac:dyDescent="0.35">
      <c r="E728" s="96" t="str">
        <f t="shared" si="23"/>
        <v xml:space="preserve"> </v>
      </c>
      <c r="F728" s="96" t="str">
        <f t="shared" si="23"/>
        <v xml:space="preserve"> </v>
      </c>
    </row>
    <row r="729" spans="5:6" x14ac:dyDescent="0.35">
      <c r="E729" s="96" t="str">
        <f t="shared" si="23"/>
        <v xml:space="preserve"> </v>
      </c>
      <c r="F729" s="96" t="str">
        <f t="shared" si="23"/>
        <v xml:space="preserve"> </v>
      </c>
    </row>
    <row r="730" spans="5:6" x14ac:dyDescent="0.35">
      <c r="E730" s="96" t="str">
        <f t="shared" si="23"/>
        <v xml:space="preserve"> </v>
      </c>
      <c r="F730" s="96" t="str">
        <f t="shared" si="23"/>
        <v xml:space="preserve"> </v>
      </c>
    </row>
    <row r="731" spans="5:6" x14ac:dyDescent="0.35">
      <c r="E731" s="96" t="str">
        <f t="shared" si="23"/>
        <v xml:space="preserve"> </v>
      </c>
      <c r="F731" s="96" t="str">
        <f t="shared" si="23"/>
        <v xml:space="preserve"> </v>
      </c>
    </row>
    <row r="732" spans="5:6" x14ac:dyDescent="0.35">
      <c r="E732" s="96" t="str">
        <f t="shared" si="23"/>
        <v xml:space="preserve"> </v>
      </c>
      <c r="F732" s="96" t="str">
        <f t="shared" si="23"/>
        <v xml:space="preserve"> </v>
      </c>
    </row>
    <row r="733" spans="5:6" x14ac:dyDescent="0.35">
      <c r="E733" s="96" t="str">
        <f t="shared" si="23"/>
        <v xml:space="preserve"> </v>
      </c>
      <c r="F733" s="96" t="str">
        <f t="shared" si="23"/>
        <v xml:space="preserve"> </v>
      </c>
    </row>
    <row r="734" spans="5:6" x14ac:dyDescent="0.35">
      <c r="E734" s="96" t="str">
        <f t="shared" si="23"/>
        <v xml:space="preserve"> </v>
      </c>
      <c r="F734" s="96" t="str">
        <f t="shared" si="23"/>
        <v xml:space="preserve"> </v>
      </c>
    </row>
    <row r="735" spans="5:6" x14ac:dyDescent="0.35">
      <c r="E735" s="96" t="str">
        <f t="shared" si="23"/>
        <v xml:space="preserve"> </v>
      </c>
      <c r="F735" s="96" t="str">
        <f t="shared" si="23"/>
        <v xml:space="preserve"> </v>
      </c>
    </row>
    <row r="736" spans="5:6" x14ac:dyDescent="0.35">
      <c r="E736" s="96" t="str">
        <f t="shared" si="23"/>
        <v xml:space="preserve"> </v>
      </c>
      <c r="F736" s="96" t="str">
        <f t="shared" si="23"/>
        <v xml:space="preserve"> </v>
      </c>
    </row>
    <row r="737" spans="5:6" x14ac:dyDescent="0.35">
      <c r="E737" s="96" t="str">
        <f t="shared" si="23"/>
        <v xml:space="preserve"> </v>
      </c>
      <c r="F737" s="96" t="str">
        <f t="shared" si="23"/>
        <v xml:space="preserve"> </v>
      </c>
    </row>
    <row r="738" spans="5:6" x14ac:dyDescent="0.35">
      <c r="E738" s="96" t="str">
        <f t="shared" si="23"/>
        <v xml:space="preserve"> </v>
      </c>
      <c r="F738" s="96" t="str">
        <f t="shared" si="23"/>
        <v xml:space="preserve"> </v>
      </c>
    </row>
    <row r="739" spans="5:6" x14ac:dyDescent="0.35">
      <c r="E739" s="96" t="str">
        <f t="shared" si="23"/>
        <v xml:space="preserve"> </v>
      </c>
      <c r="F739" s="96" t="str">
        <f t="shared" si="23"/>
        <v xml:space="preserve"> </v>
      </c>
    </row>
    <row r="740" spans="5:6" x14ac:dyDescent="0.35">
      <c r="E740" s="96" t="str">
        <f t="shared" si="23"/>
        <v xml:space="preserve"> </v>
      </c>
      <c r="F740" s="96" t="str">
        <f t="shared" si="23"/>
        <v xml:space="preserve"> </v>
      </c>
    </row>
    <row r="741" spans="5:6" x14ac:dyDescent="0.35">
      <c r="E741" s="96" t="str">
        <f t="shared" si="23"/>
        <v xml:space="preserve"> </v>
      </c>
      <c r="F741" s="96" t="str">
        <f t="shared" si="23"/>
        <v xml:space="preserve"> </v>
      </c>
    </row>
    <row r="742" spans="5:6" x14ac:dyDescent="0.35">
      <c r="E742" s="96" t="str">
        <f t="shared" si="23"/>
        <v xml:space="preserve"> </v>
      </c>
      <c r="F742" s="96" t="str">
        <f t="shared" si="23"/>
        <v xml:space="preserve"> </v>
      </c>
    </row>
    <row r="743" spans="5:6" x14ac:dyDescent="0.35">
      <c r="E743" s="96" t="str">
        <f t="shared" si="23"/>
        <v xml:space="preserve"> </v>
      </c>
      <c r="F743" s="96" t="str">
        <f t="shared" si="23"/>
        <v xml:space="preserve"> </v>
      </c>
    </row>
    <row r="744" spans="5:6" x14ac:dyDescent="0.35">
      <c r="E744" s="96" t="str">
        <f t="shared" si="23"/>
        <v xml:space="preserve"> </v>
      </c>
      <c r="F744" s="96" t="str">
        <f t="shared" si="23"/>
        <v xml:space="preserve"> </v>
      </c>
    </row>
    <row r="745" spans="5:6" x14ac:dyDescent="0.35">
      <c r="E745" s="96" t="str">
        <f t="shared" si="23"/>
        <v xml:space="preserve"> </v>
      </c>
      <c r="F745" s="96" t="str">
        <f t="shared" si="23"/>
        <v xml:space="preserve"> </v>
      </c>
    </row>
    <row r="746" spans="5:6" x14ac:dyDescent="0.35">
      <c r="E746" s="96" t="str">
        <f t="shared" si="23"/>
        <v xml:space="preserve"> </v>
      </c>
      <c r="F746" s="96" t="str">
        <f t="shared" si="23"/>
        <v xml:space="preserve"> </v>
      </c>
    </row>
    <row r="747" spans="5:6" x14ac:dyDescent="0.35">
      <c r="E747" s="96" t="str">
        <f t="shared" si="23"/>
        <v xml:space="preserve"> </v>
      </c>
      <c r="F747" s="96" t="str">
        <f t="shared" si="23"/>
        <v xml:space="preserve"> </v>
      </c>
    </row>
    <row r="748" spans="5:6" x14ac:dyDescent="0.35">
      <c r="E748" s="96" t="str">
        <f t="shared" si="23"/>
        <v xml:space="preserve"> </v>
      </c>
      <c r="F748" s="96" t="str">
        <f t="shared" si="23"/>
        <v xml:space="preserve"> </v>
      </c>
    </row>
    <row r="749" spans="5:6" x14ac:dyDescent="0.35">
      <c r="E749" s="96" t="str">
        <f t="shared" si="23"/>
        <v xml:space="preserve"> </v>
      </c>
      <c r="F749" s="96" t="str">
        <f t="shared" si="23"/>
        <v xml:space="preserve"> </v>
      </c>
    </row>
    <row r="750" spans="5:6" x14ac:dyDescent="0.35">
      <c r="E750" s="96" t="str">
        <f t="shared" si="23"/>
        <v xml:space="preserve"> </v>
      </c>
      <c r="F750" s="96" t="str">
        <f t="shared" si="23"/>
        <v xml:space="preserve"> </v>
      </c>
    </row>
    <row r="751" spans="5:6" x14ac:dyDescent="0.35">
      <c r="E751" s="96" t="str">
        <f t="shared" si="23"/>
        <v xml:space="preserve"> </v>
      </c>
      <c r="F751" s="96" t="str">
        <f t="shared" si="23"/>
        <v xml:space="preserve"> </v>
      </c>
    </row>
    <row r="752" spans="5:6" x14ac:dyDescent="0.35">
      <c r="E752" s="96" t="str">
        <f t="shared" si="23"/>
        <v xml:space="preserve"> </v>
      </c>
      <c r="F752" s="96" t="str">
        <f t="shared" si="23"/>
        <v xml:space="preserve"> </v>
      </c>
    </row>
    <row r="753" spans="5:6" x14ac:dyDescent="0.35">
      <c r="E753" s="96" t="str">
        <f t="shared" si="23"/>
        <v xml:space="preserve"> </v>
      </c>
      <c r="F753" s="96" t="str">
        <f t="shared" si="23"/>
        <v xml:space="preserve"> </v>
      </c>
    </row>
    <row r="754" spans="5:6" x14ac:dyDescent="0.35">
      <c r="E754" s="96" t="str">
        <f t="shared" si="23"/>
        <v xml:space="preserve"> </v>
      </c>
      <c r="F754" s="96" t="str">
        <f t="shared" si="23"/>
        <v xml:space="preserve"> </v>
      </c>
    </row>
    <row r="755" spans="5:6" x14ac:dyDescent="0.35">
      <c r="E755" s="96" t="str">
        <f t="shared" si="23"/>
        <v xml:space="preserve"> </v>
      </c>
      <c r="F755" s="96" t="str">
        <f t="shared" si="23"/>
        <v xml:space="preserve"> </v>
      </c>
    </row>
    <row r="756" spans="5:6" x14ac:dyDescent="0.35">
      <c r="E756" s="96" t="str">
        <f t="shared" si="23"/>
        <v xml:space="preserve"> </v>
      </c>
      <c r="F756" s="96" t="str">
        <f t="shared" si="23"/>
        <v xml:space="preserve"> </v>
      </c>
    </row>
    <row r="757" spans="5:6" x14ac:dyDescent="0.35">
      <c r="E757" s="96" t="str">
        <f t="shared" si="23"/>
        <v xml:space="preserve"> </v>
      </c>
      <c r="F757" s="96" t="str">
        <f t="shared" si="23"/>
        <v xml:space="preserve"> </v>
      </c>
    </row>
    <row r="758" spans="5:6" x14ac:dyDescent="0.35">
      <c r="E758" s="96" t="str">
        <f t="shared" si="23"/>
        <v xml:space="preserve"> </v>
      </c>
      <c r="F758" s="96" t="str">
        <f t="shared" si="23"/>
        <v xml:space="preserve"> </v>
      </c>
    </row>
    <row r="759" spans="5:6" x14ac:dyDescent="0.35">
      <c r="E759" s="96" t="str">
        <f t="shared" si="23"/>
        <v xml:space="preserve"> </v>
      </c>
      <c r="F759" s="96" t="str">
        <f t="shared" si="23"/>
        <v xml:space="preserve"> </v>
      </c>
    </row>
    <row r="760" spans="5:6" x14ac:dyDescent="0.35">
      <c r="E760" s="96" t="str">
        <f t="shared" si="23"/>
        <v xml:space="preserve"> </v>
      </c>
      <c r="F760" s="96" t="str">
        <f t="shared" si="23"/>
        <v xml:space="preserve"> </v>
      </c>
    </row>
    <row r="761" spans="5:6" x14ac:dyDescent="0.35">
      <c r="E761" s="96" t="str">
        <f t="shared" si="23"/>
        <v xml:space="preserve"> </v>
      </c>
      <c r="F761" s="96" t="str">
        <f t="shared" si="23"/>
        <v xml:space="preserve"> </v>
      </c>
    </row>
    <row r="762" spans="5:6" x14ac:dyDescent="0.35">
      <c r="E762" s="96" t="str">
        <f t="shared" si="23"/>
        <v xml:space="preserve"> </v>
      </c>
      <c r="F762" s="96" t="str">
        <f t="shared" si="23"/>
        <v xml:space="preserve"> </v>
      </c>
    </row>
    <row r="763" spans="5:6" x14ac:dyDescent="0.35">
      <c r="E763" s="96" t="str">
        <f t="shared" si="23"/>
        <v xml:space="preserve"> </v>
      </c>
      <c r="F763" s="96" t="str">
        <f t="shared" si="23"/>
        <v xml:space="preserve"> </v>
      </c>
    </row>
    <row r="764" spans="5:6" x14ac:dyDescent="0.35">
      <c r="E764" s="96" t="str">
        <f t="shared" si="23"/>
        <v xml:space="preserve"> </v>
      </c>
      <c r="F764" s="96" t="str">
        <f t="shared" si="23"/>
        <v xml:space="preserve"> </v>
      </c>
    </row>
    <row r="765" spans="5:6" x14ac:dyDescent="0.35">
      <c r="E765" s="96" t="str">
        <f t="shared" si="23"/>
        <v xml:space="preserve"> </v>
      </c>
      <c r="F765" s="96" t="str">
        <f t="shared" si="23"/>
        <v xml:space="preserve"> </v>
      </c>
    </row>
    <row r="766" spans="5:6" x14ac:dyDescent="0.35">
      <c r="E766" s="96" t="str">
        <f t="shared" si="23"/>
        <v xml:space="preserve"> </v>
      </c>
      <c r="F766" s="96" t="str">
        <f t="shared" si="23"/>
        <v xml:space="preserve"> </v>
      </c>
    </row>
    <row r="767" spans="5:6" x14ac:dyDescent="0.35">
      <c r="E767" s="96" t="str">
        <f t="shared" si="23"/>
        <v xml:space="preserve"> </v>
      </c>
      <c r="F767" s="96" t="str">
        <f t="shared" si="23"/>
        <v xml:space="preserve"> </v>
      </c>
    </row>
    <row r="768" spans="5:6" x14ac:dyDescent="0.35">
      <c r="E768" s="96" t="str">
        <f t="shared" si="23"/>
        <v xml:space="preserve"> </v>
      </c>
      <c r="F768" s="96" t="str">
        <f t="shared" si="23"/>
        <v xml:space="preserve"> </v>
      </c>
    </row>
    <row r="769" spans="5:6" x14ac:dyDescent="0.35">
      <c r="E769" s="96" t="str">
        <f t="shared" si="23"/>
        <v xml:space="preserve"> </v>
      </c>
      <c r="F769" s="96" t="str">
        <f t="shared" si="23"/>
        <v xml:space="preserve"> </v>
      </c>
    </row>
    <row r="770" spans="5:6" x14ac:dyDescent="0.35">
      <c r="E770" s="96" t="str">
        <f t="shared" si="23"/>
        <v xml:space="preserve"> </v>
      </c>
      <c r="F770" s="96" t="str">
        <f t="shared" si="23"/>
        <v xml:space="preserve"> </v>
      </c>
    </row>
    <row r="771" spans="5:6" x14ac:dyDescent="0.35">
      <c r="E771" s="96" t="str">
        <f t="shared" si="23"/>
        <v xml:space="preserve"> </v>
      </c>
      <c r="F771" s="96" t="str">
        <f t="shared" si="23"/>
        <v xml:space="preserve"> </v>
      </c>
    </row>
    <row r="772" spans="5:6" x14ac:dyDescent="0.35">
      <c r="E772" s="96" t="str">
        <f t="shared" si="23"/>
        <v xml:space="preserve"> </v>
      </c>
      <c r="F772" s="96" t="str">
        <f t="shared" si="23"/>
        <v xml:space="preserve"> </v>
      </c>
    </row>
    <row r="773" spans="5:6" x14ac:dyDescent="0.35">
      <c r="E773" s="96" t="str">
        <f t="shared" si="23"/>
        <v xml:space="preserve"> </v>
      </c>
      <c r="F773" s="96" t="str">
        <f t="shared" si="23"/>
        <v xml:space="preserve"> </v>
      </c>
    </row>
    <row r="774" spans="5:6" x14ac:dyDescent="0.35">
      <c r="E774" s="96" t="str">
        <f t="shared" si="23"/>
        <v xml:space="preserve"> </v>
      </c>
      <c r="F774" s="96" t="str">
        <f t="shared" si="23"/>
        <v xml:space="preserve"> </v>
      </c>
    </row>
    <row r="775" spans="5:6" x14ac:dyDescent="0.35">
      <c r="E775" s="96" t="str">
        <f t="shared" si="23"/>
        <v xml:space="preserve"> </v>
      </c>
      <c r="F775" s="96" t="str">
        <f t="shared" si="23"/>
        <v xml:space="preserve"> </v>
      </c>
    </row>
    <row r="776" spans="5:6" x14ac:dyDescent="0.35">
      <c r="E776" s="96" t="str">
        <f t="shared" si="23"/>
        <v xml:space="preserve"> </v>
      </c>
      <c r="F776" s="96" t="str">
        <f t="shared" si="23"/>
        <v xml:space="preserve"> </v>
      </c>
    </row>
    <row r="777" spans="5:6" x14ac:dyDescent="0.35">
      <c r="E777" s="96" t="str">
        <f t="shared" si="23"/>
        <v xml:space="preserve"> </v>
      </c>
      <c r="F777" s="96" t="str">
        <f t="shared" si="23"/>
        <v xml:space="preserve"> </v>
      </c>
    </row>
    <row r="778" spans="5:6" x14ac:dyDescent="0.35">
      <c r="E778" s="96" t="str">
        <f t="shared" si="23"/>
        <v xml:space="preserve"> </v>
      </c>
      <c r="F778" s="96" t="str">
        <f t="shared" si="23"/>
        <v xml:space="preserve"> </v>
      </c>
    </row>
    <row r="779" spans="5:6" x14ac:dyDescent="0.35">
      <c r="E779" s="96" t="str">
        <f t="shared" si="23"/>
        <v xml:space="preserve"> </v>
      </c>
      <c r="F779" s="96" t="str">
        <f t="shared" si="23"/>
        <v xml:space="preserve"> </v>
      </c>
    </row>
    <row r="780" spans="5:6" x14ac:dyDescent="0.35">
      <c r="E780" s="96" t="str">
        <f t="shared" si="23"/>
        <v xml:space="preserve"> </v>
      </c>
      <c r="F780" s="96" t="str">
        <f t="shared" si="23"/>
        <v xml:space="preserve"> </v>
      </c>
    </row>
    <row r="781" spans="5:6" x14ac:dyDescent="0.35">
      <c r="E781" s="96" t="str">
        <f t="shared" si="23"/>
        <v xml:space="preserve"> </v>
      </c>
      <c r="F781" s="96" t="str">
        <f t="shared" si="23"/>
        <v xml:space="preserve"> </v>
      </c>
    </row>
    <row r="782" spans="5:6" x14ac:dyDescent="0.35">
      <c r="E782" s="96" t="str">
        <f t="shared" si="23"/>
        <v xml:space="preserve"> </v>
      </c>
      <c r="F782" s="96" t="str">
        <f t="shared" si="23"/>
        <v xml:space="preserve"> </v>
      </c>
    </row>
    <row r="783" spans="5:6" x14ac:dyDescent="0.35">
      <c r="E783" s="96" t="str">
        <f t="shared" si="23"/>
        <v xml:space="preserve"> </v>
      </c>
      <c r="F783" s="96" t="str">
        <f t="shared" si="23"/>
        <v xml:space="preserve"> </v>
      </c>
    </row>
    <row r="784" spans="5:6" x14ac:dyDescent="0.35">
      <c r="E784" s="96" t="str">
        <f t="shared" si="23"/>
        <v xml:space="preserve"> </v>
      </c>
      <c r="F784" s="96" t="str">
        <f t="shared" si="23"/>
        <v xml:space="preserve"> </v>
      </c>
    </row>
    <row r="785" spans="5:6" x14ac:dyDescent="0.35">
      <c r="E785" s="96" t="str">
        <f t="shared" si="23"/>
        <v xml:space="preserve"> </v>
      </c>
      <c r="F785" s="96" t="str">
        <f t="shared" si="23"/>
        <v xml:space="preserve"> </v>
      </c>
    </row>
    <row r="786" spans="5:6" x14ac:dyDescent="0.35">
      <c r="E786" s="96" t="str">
        <f t="shared" si="23"/>
        <v xml:space="preserve"> </v>
      </c>
      <c r="F786" s="96" t="str">
        <f t="shared" si="23"/>
        <v xml:space="preserve"> </v>
      </c>
    </row>
    <row r="787" spans="5:6" x14ac:dyDescent="0.35">
      <c r="E787" s="96" t="str">
        <f t="shared" si="23"/>
        <v xml:space="preserve"> </v>
      </c>
      <c r="F787" s="96" t="str">
        <f t="shared" si="23"/>
        <v xml:space="preserve"> </v>
      </c>
    </row>
    <row r="788" spans="5:6" x14ac:dyDescent="0.35">
      <c r="E788" s="96" t="str">
        <f t="shared" si="23"/>
        <v xml:space="preserve"> </v>
      </c>
      <c r="F788" s="96" t="str">
        <f t="shared" si="23"/>
        <v xml:space="preserve"> </v>
      </c>
    </row>
    <row r="789" spans="5:6" x14ac:dyDescent="0.35">
      <c r="E789" s="96" t="str">
        <f t="shared" si="23"/>
        <v xml:space="preserve"> </v>
      </c>
      <c r="F789" s="96" t="str">
        <f t="shared" si="23"/>
        <v xml:space="preserve"> </v>
      </c>
    </row>
    <row r="790" spans="5:6" x14ac:dyDescent="0.35">
      <c r="E790" s="96" t="str">
        <f t="shared" si="23"/>
        <v xml:space="preserve"> </v>
      </c>
      <c r="F790" s="96" t="str">
        <f t="shared" si="23"/>
        <v xml:space="preserve"> </v>
      </c>
    </row>
    <row r="791" spans="5:6" x14ac:dyDescent="0.35">
      <c r="E791" s="96" t="str">
        <f t="shared" ref="E791:F854" si="24">IF((IFERROR(C791/C790-1," "))=-1," ",IFERROR(C791/C790-1," "))</f>
        <v xml:space="preserve"> </v>
      </c>
      <c r="F791" s="96" t="str">
        <f t="shared" si="24"/>
        <v xml:space="preserve"> </v>
      </c>
    </row>
    <row r="792" spans="5:6" x14ac:dyDescent="0.35">
      <c r="E792" s="96" t="str">
        <f t="shared" si="24"/>
        <v xml:space="preserve"> </v>
      </c>
      <c r="F792" s="96" t="str">
        <f t="shared" si="24"/>
        <v xml:space="preserve"> </v>
      </c>
    </row>
    <row r="793" spans="5:6" x14ac:dyDescent="0.35">
      <c r="E793" s="96" t="str">
        <f t="shared" si="24"/>
        <v xml:space="preserve"> </v>
      </c>
      <c r="F793" s="96" t="str">
        <f t="shared" si="24"/>
        <v xml:space="preserve"> </v>
      </c>
    </row>
    <row r="794" spans="5:6" x14ac:dyDescent="0.35">
      <c r="E794" s="96" t="str">
        <f t="shared" si="24"/>
        <v xml:space="preserve"> </v>
      </c>
      <c r="F794" s="96" t="str">
        <f t="shared" si="24"/>
        <v xml:space="preserve"> </v>
      </c>
    </row>
    <row r="795" spans="5:6" x14ac:dyDescent="0.35">
      <c r="E795" s="96" t="str">
        <f t="shared" si="24"/>
        <v xml:space="preserve"> </v>
      </c>
      <c r="F795" s="96" t="str">
        <f t="shared" si="24"/>
        <v xml:space="preserve"> </v>
      </c>
    </row>
    <row r="796" spans="5:6" x14ac:dyDescent="0.35">
      <c r="E796" s="96" t="str">
        <f t="shared" si="24"/>
        <v xml:space="preserve"> </v>
      </c>
      <c r="F796" s="96" t="str">
        <f t="shared" si="24"/>
        <v xml:space="preserve"> </v>
      </c>
    </row>
    <row r="797" spans="5:6" x14ac:dyDescent="0.35">
      <c r="E797" s="96" t="str">
        <f t="shared" si="24"/>
        <v xml:space="preserve"> </v>
      </c>
      <c r="F797" s="96" t="str">
        <f t="shared" si="24"/>
        <v xml:space="preserve"> </v>
      </c>
    </row>
    <row r="798" spans="5:6" x14ac:dyDescent="0.35">
      <c r="E798" s="96" t="str">
        <f t="shared" si="24"/>
        <v xml:space="preserve"> </v>
      </c>
      <c r="F798" s="96" t="str">
        <f t="shared" si="24"/>
        <v xml:space="preserve"> </v>
      </c>
    </row>
    <row r="799" spans="5:6" x14ac:dyDescent="0.35">
      <c r="E799" s="96" t="str">
        <f t="shared" si="24"/>
        <v xml:space="preserve"> </v>
      </c>
      <c r="F799" s="96" t="str">
        <f t="shared" si="24"/>
        <v xml:space="preserve"> </v>
      </c>
    </row>
    <row r="800" spans="5:6" x14ac:dyDescent="0.35">
      <c r="E800" s="96" t="str">
        <f t="shared" si="24"/>
        <v xml:space="preserve"> </v>
      </c>
      <c r="F800" s="96" t="str">
        <f t="shared" si="24"/>
        <v xml:space="preserve"> </v>
      </c>
    </row>
    <row r="801" spans="5:6" x14ac:dyDescent="0.35">
      <c r="E801" s="96" t="str">
        <f t="shared" si="24"/>
        <v xml:space="preserve"> </v>
      </c>
      <c r="F801" s="96" t="str">
        <f t="shared" si="24"/>
        <v xml:space="preserve"> </v>
      </c>
    </row>
    <row r="802" spans="5:6" x14ac:dyDescent="0.35">
      <c r="E802" s="96" t="str">
        <f t="shared" si="24"/>
        <v xml:space="preserve"> </v>
      </c>
      <c r="F802" s="96" t="str">
        <f t="shared" si="24"/>
        <v xml:space="preserve"> </v>
      </c>
    </row>
    <row r="803" spans="5:6" x14ac:dyDescent="0.35">
      <c r="E803" s="96" t="str">
        <f t="shared" si="24"/>
        <v xml:space="preserve"> </v>
      </c>
      <c r="F803" s="96" t="str">
        <f t="shared" si="24"/>
        <v xml:space="preserve"> </v>
      </c>
    </row>
    <row r="804" spans="5:6" x14ac:dyDescent="0.35">
      <c r="E804" s="96" t="str">
        <f t="shared" si="24"/>
        <v xml:space="preserve"> </v>
      </c>
      <c r="F804" s="96" t="str">
        <f t="shared" si="24"/>
        <v xml:space="preserve"> </v>
      </c>
    </row>
    <row r="805" spans="5:6" x14ac:dyDescent="0.35">
      <c r="E805" s="96" t="str">
        <f t="shared" si="24"/>
        <v xml:space="preserve"> </v>
      </c>
      <c r="F805" s="96" t="str">
        <f t="shared" si="24"/>
        <v xml:space="preserve"> </v>
      </c>
    </row>
    <row r="806" spans="5:6" x14ac:dyDescent="0.35">
      <c r="E806" s="96" t="str">
        <f t="shared" si="24"/>
        <v xml:space="preserve"> </v>
      </c>
      <c r="F806" s="96" t="str">
        <f t="shared" si="24"/>
        <v xml:space="preserve"> </v>
      </c>
    </row>
    <row r="807" spans="5:6" x14ac:dyDescent="0.35">
      <c r="E807" s="96" t="str">
        <f t="shared" si="24"/>
        <v xml:space="preserve"> </v>
      </c>
      <c r="F807" s="96" t="str">
        <f t="shared" si="24"/>
        <v xml:space="preserve"> </v>
      </c>
    </row>
    <row r="808" spans="5:6" x14ac:dyDescent="0.35">
      <c r="E808" s="96" t="str">
        <f t="shared" si="24"/>
        <v xml:space="preserve"> </v>
      </c>
      <c r="F808" s="96" t="str">
        <f t="shared" si="24"/>
        <v xml:space="preserve"> </v>
      </c>
    </row>
    <row r="809" spans="5:6" x14ac:dyDescent="0.35">
      <c r="E809" s="96" t="str">
        <f t="shared" si="24"/>
        <v xml:space="preserve"> </v>
      </c>
      <c r="F809" s="96" t="str">
        <f t="shared" si="24"/>
        <v xml:space="preserve"> </v>
      </c>
    </row>
    <row r="810" spans="5:6" x14ac:dyDescent="0.35">
      <c r="E810" s="96" t="str">
        <f t="shared" si="24"/>
        <v xml:space="preserve"> </v>
      </c>
      <c r="F810" s="96" t="str">
        <f t="shared" si="24"/>
        <v xml:space="preserve"> </v>
      </c>
    </row>
    <row r="811" spans="5:6" x14ac:dyDescent="0.35">
      <c r="E811" s="96" t="str">
        <f t="shared" si="24"/>
        <v xml:space="preserve"> </v>
      </c>
      <c r="F811" s="96" t="str">
        <f t="shared" si="24"/>
        <v xml:space="preserve"> </v>
      </c>
    </row>
    <row r="812" spans="5:6" x14ac:dyDescent="0.35">
      <c r="E812" s="96" t="str">
        <f t="shared" si="24"/>
        <v xml:space="preserve"> </v>
      </c>
      <c r="F812" s="96" t="str">
        <f t="shared" si="24"/>
        <v xml:space="preserve"> </v>
      </c>
    </row>
    <row r="813" spans="5:6" x14ac:dyDescent="0.35">
      <c r="E813" s="96" t="str">
        <f t="shared" si="24"/>
        <v xml:space="preserve"> </v>
      </c>
      <c r="F813" s="96" t="str">
        <f t="shared" si="24"/>
        <v xml:space="preserve"> </v>
      </c>
    </row>
    <row r="814" spans="5:6" x14ac:dyDescent="0.35">
      <c r="E814" s="96" t="str">
        <f t="shared" si="24"/>
        <v xml:space="preserve"> </v>
      </c>
      <c r="F814" s="96" t="str">
        <f t="shared" si="24"/>
        <v xml:space="preserve"> </v>
      </c>
    </row>
    <row r="815" spans="5:6" x14ac:dyDescent="0.35">
      <c r="E815" s="96" t="str">
        <f t="shared" si="24"/>
        <v xml:space="preserve"> </v>
      </c>
      <c r="F815" s="96" t="str">
        <f t="shared" si="24"/>
        <v xml:space="preserve"> </v>
      </c>
    </row>
    <row r="816" spans="5:6" x14ac:dyDescent="0.35">
      <c r="E816" s="96" t="str">
        <f t="shared" si="24"/>
        <v xml:space="preserve"> </v>
      </c>
      <c r="F816" s="96" t="str">
        <f t="shared" si="24"/>
        <v xml:space="preserve"> </v>
      </c>
    </row>
    <row r="817" spans="5:6" x14ac:dyDescent="0.35">
      <c r="E817" s="96" t="str">
        <f t="shared" si="24"/>
        <v xml:space="preserve"> </v>
      </c>
      <c r="F817" s="96" t="str">
        <f t="shared" si="24"/>
        <v xml:space="preserve"> </v>
      </c>
    </row>
    <row r="818" spans="5:6" x14ac:dyDescent="0.35">
      <c r="E818" s="96" t="str">
        <f t="shared" si="24"/>
        <v xml:space="preserve"> </v>
      </c>
      <c r="F818" s="96" t="str">
        <f t="shared" si="24"/>
        <v xml:space="preserve"> </v>
      </c>
    </row>
    <row r="819" spans="5:6" x14ac:dyDescent="0.35">
      <c r="E819" s="96" t="str">
        <f t="shared" si="24"/>
        <v xml:space="preserve"> </v>
      </c>
      <c r="F819" s="96" t="str">
        <f t="shared" si="24"/>
        <v xml:space="preserve"> </v>
      </c>
    </row>
    <row r="820" spans="5:6" x14ac:dyDescent="0.35">
      <c r="E820" s="96" t="str">
        <f t="shared" si="24"/>
        <v xml:space="preserve"> </v>
      </c>
      <c r="F820" s="96" t="str">
        <f t="shared" si="24"/>
        <v xml:space="preserve"> </v>
      </c>
    </row>
    <row r="821" spans="5:6" x14ac:dyDescent="0.35">
      <c r="E821" s="96" t="str">
        <f t="shared" si="24"/>
        <v xml:space="preserve"> </v>
      </c>
      <c r="F821" s="96" t="str">
        <f t="shared" si="24"/>
        <v xml:space="preserve"> </v>
      </c>
    </row>
    <row r="822" spans="5:6" x14ac:dyDescent="0.35">
      <c r="E822" s="96" t="str">
        <f t="shared" si="24"/>
        <v xml:space="preserve"> </v>
      </c>
      <c r="F822" s="96" t="str">
        <f t="shared" si="24"/>
        <v xml:space="preserve"> </v>
      </c>
    </row>
    <row r="823" spans="5:6" x14ac:dyDescent="0.35">
      <c r="E823" s="96" t="str">
        <f t="shared" si="24"/>
        <v xml:space="preserve"> </v>
      </c>
      <c r="F823" s="96" t="str">
        <f t="shared" si="24"/>
        <v xml:space="preserve"> </v>
      </c>
    </row>
    <row r="824" spans="5:6" x14ac:dyDescent="0.35">
      <c r="E824" s="96" t="str">
        <f t="shared" si="24"/>
        <v xml:space="preserve"> </v>
      </c>
      <c r="F824" s="96" t="str">
        <f t="shared" si="24"/>
        <v xml:space="preserve"> </v>
      </c>
    </row>
    <row r="825" spans="5:6" x14ac:dyDescent="0.35">
      <c r="E825" s="96" t="str">
        <f t="shared" si="24"/>
        <v xml:space="preserve"> </v>
      </c>
      <c r="F825" s="96" t="str">
        <f t="shared" si="24"/>
        <v xml:space="preserve"> </v>
      </c>
    </row>
    <row r="826" spans="5:6" x14ac:dyDescent="0.35">
      <c r="E826" s="96" t="str">
        <f t="shared" si="24"/>
        <v xml:space="preserve"> </v>
      </c>
      <c r="F826" s="96" t="str">
        <f t="shared" si="24"/>
        <v xml:space="preserve"> </v>
      </c>
    </row>
    <row r="827" spans="5:6" x14ac:dyDescent="0.35">
      <c r="E827" s="96" t="str">
        <f t="shared" si="24"/>
        <v xml:space="preserve"> </v>
      </c>
      <c r="F827" s="96" t="str">
        <f t="shared" si="24"/>
        <v xml:space="preserve"> </v>
      </c>
    </row>
    <row r="828" spans="5:6" x14ac:dyDescent="0.35">
      <c r="E828" s="96" t="str">
        <f t="shared" si="24"/>
        <v xml:space="preserve"> </v>
      </c>
      <c r="F828" s="96" t="str">
        <f t="shared" si="24"/>
        <v xml:space="preserve"> </v>
      </c>
    </row>
    <row r="829" spans="5:6" x14ac:dyDescent="0.35">
      <c r="E829" s="96" t="str">
        <f t="shared" si="24"/>
        <v xml:space="preserve"> </v>
      </c>
      <c r="F829" s="96" t="str">
        <f t="shared" si="24"/>
        <v xml:space="preserve"> </v>
      </c>
    </row>
    <row r="830" spans="5:6" x14ac:dyDescent="0.35">
      <c r="E830" s="96" t="str">
        <f t="shared" si="24"/>
        <v xml:space="preserve"> </v>
      </c>
      <c r="F830" s="96" t="str">
        <f t="shared" si="24"/>
        <v xml:space="preserve"> </v>
      </c>
    </row>
    <row r="831" spans="5:6" x14ac:dyDescent="0.35">
      <c r="E831" s="96" t="str">
        <f t="shared" si="24"/>
        <v xml:space="preserve"> </v>
      </c>
      <c r="F831" s="96" t="str">
        <f t="shared" si="24"/>
        <v xml:space="preserve"> </v>
      </c>
    </row>
    <row r="832" spans="5:6" x14ac:dyDescent="0.35">
      <c r="E832" s="96" t="str">
        <f t="shared" si="24"/>
        <v xml:space="preserve"> </v>
      </c>
      <c r="F832" s="96" t="str">
        <f t="shared" si="24"/>
        <v xml:space="preserve"> </v>
      </c>
    </row>
    <row r="833" spans="5:6" x14ac:dyDescent="0.35">
      <c r="E833" s="96" t="str">
        <f t="shared" si="24"/>
        <v xml:space="preserve"> </v>
      </c>
      <c r="F833" s="96" t="str">
        <f t="shared" si="24"/>
        <v xml:space="preserve"> </v>
      </c>
    </row>
    <row r="834" spans="5:6" x14ac:dyDescent="0.35">
      <c r="E834" s="96" t="str">
        <f t="shared" si="24"/>
        <v xml:space="preserve"> </v>
      </c>
      <c r="F834" s="96" t="str">
        <f t="shared" si="24"/>
        <v xml:space="preserve"> </v>
      </c>
    </row>
    <row r="835" spans="5:6" x14ac:dyDescent="0.35">
      <c r="E835" s="96" t="str">
        <f t="shared" si="24"/>
        <v xml:space="preserve"> </v>
      </c>
      <c r="F835" s="96" t="str">
        <f t="shared" si="24"/>
        <v xml:space="preserve"> </v>
      </c>
    </row>
    <row r="836" spans="5:6" x14ac:dyDescent="0.35">
      <c r="E836" s="96" t="str">
        <f t="shared" si="24"/>
        <v xml:space="preserve"> </v>
      </c>
      <c r="F836" s="96" t="str">
        <f t="shared" si="24"/>
        <v xml:space="preserve"> </v>
      </c>
    </row>
    <row r="837" spans="5:6" x14ac:dyDescent="0.35">
      <c r="E837" s="96" t="str">
        <f t="shared" si="24"/>
        <v xml:space="preserve"> </v>
      </c>
      <c r="F837" s="96" t="str">
        <f t="shared" si="24"/>
        <v xml:space="preserve"> </v>
      </c>
    </row>
    <row r="838" spans="5:6" x14ac:dyDescent="0.35">
      <c r="E838" s="96" t="str">
        <f t="shared" si="24"/>
        <v xml:space="preserve"> </v>
      </c>
      <c r="F838" s="96" t="str">
        <f t="shared" si="24"/>
        <v xml:space="preserve"> </v>
      </c>
    </row>
    <row r="839" spans="5:6" x14ac:dyDescent="0.35">
      <c r="E839" s="96" t="str">
        <f t="shared" si="24"/>
        <v xml:space="preserve"> </v>
      </c>
      <c r="F839" s="96" t="str">
        <f t="shared" si="24"/>
        <v xml:space="preserve"> </v>
      </c>
    </row>
    <row r="840" spans="5:6" x14ac:dyDescent="0.35">
      <c r="E840" s="96" t="str">
        <f t="shared" si="24"/>
        <v xml:space="preserve"> </v>
      </c>
      <c r="F840" s="96" t="str">
        <f t="shared" si="24"/>
        <v xml:space="preserve"> </v>
      </c>
    </row>
    <row r="841" spans="5:6" x14ac:dyDescent="0.35">
      <c r="E841" s="96" t="str">
        <f t="shared" si="24"/>
        <v xml:space="preserve"> </v>
      </c>
      <c r="F841" s="96" t="str">
        <f t="shared" si="24"/>
        <v xml:space="preserve"> </v>
      </c>
    </row>
    <row r="842" spans="5:6" x14ac:dyDescent="0.35">
      <c r="E842" s="96" t="str">
        <f t="shared" si="24"/>
        <v xml:space="preserve"> </v>
      </c>
      <c r="F842" s="96" t="str">
        <f t="shared" si="24"/>
        <v xml:space="preserve"> </v>
      </c>
    </row>
    <row r="843" spans="5:6" x14ac:dyDescent="0.35">
      <c r="E843" s="96" t="str">
        <f t="shared" si="24"/>
        <v xml:space="preserve"> </v>
      </c>
      <c r="F843" s="96" t="str">
        <f t="shared" si="24"/>
        <v xml:space="preserve"> </v>
      </c>
    </row>
    <row r="844" spans="5:6" x14ac:dyDescent="0.35">
      <c r="E844" s="96" t="str">
        <f t="shared" si="24"/>
        <v xml:space="preserve"> </v>
      </c>
      <c r="F844" s="96" t="str">
        <f t="shared" si="24"/>
        <v xml:space="preserve"> </v>
      </c>
    </row>
    <row r="845" spans="5:6" x14ac:dyDescent="0.35">
      <c r="E845" s="96" t="str">
        <f t="shared" si="24"/>
        <v xml:space="preserve"> </v>
      </c>
      <c r="F845" s="96" t="str">
        <f t="shared" si="24"/>
        <v xml:space="preserve"> </v>
      </c>
    </row>
    <row r="846" spans="5:6" x14ac:dyDescent="0.35">
      <c r="E846" s="96" t="str">
        <f t="shared" si="24"/>
        <v xml:space="preserve"> </v>
      </c>
      <c r="F846" s="96" t="str">
        <f t="shared" si="24"/>
        <v xml:space="preserve"> </v>
      </c>
    </row>
    <row r="847" spans="5:6" x14ac:dyDescent="0.35">
      <c r="E847" s="96" t="str">
        <f t="shared" si="24"/>
        <v xml:space="preserve"> </v>
      </c>
      <c r="F847" s="96" t="str">
        <f t="shared" si="24"/>
        <v xml:space="preserve"> </v>
      </c>
    </row>
    <row r="848" spans="5:6" x14ac:dyDescent="0.35">
      <c r="E848" s="96" t="str">
        <f t="shared" si="24"/>
        <v xml:space="preserve"> </v>
      </c>
      <c r="F848" s="96" t="str">
        <f t="shared" si="24"/>
        <v xml:space="preserve"> </v>
      </c>
    </row>
    <row r="849" spans="5:6" x14ac:dyDescent="0.35">
      <c r="E849" s="96" t="str">
        <f t="shared" si="24"/>
        <v xml:space="preserve"> </v>
      </c>
      <c r="F849" s="96" t="str">
        <f t="shared" si="24"/>
        <v xml:space="preserve"> </v>
      </c>
    </row>
    <row r="850" spans="5:6" x14ac:dyDescent="0.35">
      <c r="E850" s="96" t="str">
        <f t="shared" si="24"/>
        <v xml:space="preserve"> </v>
      </c>
      <c r="F850" s="96" t="str">
        <f t="shared" si="24"/>
        <v xml:space="preserve"> </v>
      </c>
    </row>
    <row r="851" spans="5:6" x14ac:dyDescent="0.35">
      <c r="E851" s="96" t="str">
        <f t="shared" si="24"/>
        <v xml:space="preserve"> </v>
      </c>
      <c r="F851" s="96" t="str">
        <f t="shared" si="24"/>
        <v xml:space="preserve"> </v>
      </c>
    </row>
    <row r="852" spans="5:6" x14ac:dyDescent="0.35">
      <c r="E852" s="96" t="str">
        <f t="shared" si="24"/>
        <v xml:space="preserve"> </v>
      </c>
      <c r="F852" s="96" t="str">
        <f t="shared" si="24"/>
        <v xml:space="preserve"> </v>
      </c>
    </row>
    <row r="853" spans="5:6" x14ac:dyDescent="0.35">
      <c r="E853" s="96" t="str">
        <f t="shared" si="24"/>
        <v xml:space="preserve"> </v>
      </c>
      <c r="F853" s="96" t="str">
        <f t="shared" si="24"/>
        <v xml:space="preserve"> </v>
      </c>
    </row>
    <row r="854" spans="5:6" x14ac:dyDescent="0.35">
      <c r="E854" s="96" t="str">
        <f t="shared" si="24"/>
        <v xml:space="preserve"> </v>
      </c>
      <c r="F854" s="96" t="str">
        <f t="shared" si="24"/>
        <v xml:space="preserve"> </v>
      </c>
    </row>
    <row r="855" spans="5:6" x14ac:dyDescent="0.35">
      <c r="E855" s="96" t="str">
        <f t="shared" ref="E855:F918" si="25">IF((IFERROR(C855/C854-1," "))=-1," ",IFERROR(C855/C854-1," "))</f>
        <v xml:space="preserve"> </v>
      </c>
      <c r="F855" s="96" t="str">
        <f t="shared" si="25"/>
        <v xml:space="preserve"> </v>
      </c>
    </row>
    <row r="856" spans="5:6" x14ac:dyDescent="0.35">
      <c r="E856" s="96" t="str">
        <f t="shared" si="25"/>
        <v xml:space="preserve"> </v>
      </c>
      <c r="F856" s="96" t="str">
        <f t="shared" si="25"/>
        <v xml:space="preserve"> </v>
      </c>
    </row>
    <row r="857" spans="5:6" x14ac:dyDescent="0.35">
      <c r="E857" s="96" t="str">
        <f t="shared" si="25"/>
        <v xml:space="preserve"> </v>
      </c>
      <c r="F857" s="96" t="str">
        <f t="shared" si="25"/>
        <v xml:space="preserve"> </v>
      </c>
    </row>
    <row r="858" spans="5:6" x14ac:dyDescent="0.35">
      <c r="E858" s="96" t="str">
        <f t="shared" si="25"/>
        <v xml:space="preserve"> </v>
      </c>
      <c r="F858" s="96" t="str">
        <f t="shared" si="25"/>
        <v xml:space="preserve"> </v>
      </c>
    </row>
    <row r="859" spans="5:6" x14ac:dyDescent="0.35">
      <c r="E859" s="96" t="str">
        <f t="shared" si="25"/>
        <v xml:space="preserve"> </v>
      </c>
      <c r="F859" s="96" t="str">
        <f t="shared" si="25"/>
        <v xml:space="preserve"> </v>
      </c>
    </row>
    <row r="860" spans="5:6" x14ac:dyDescent="0.35">
      <c r="E860" s="96" t="str">
        <f t="shared" si="25"/>
        <v xml:space="preserve"> </v>
      </c>
      <c r="F860" s="96" t="str">
        <f t="shared" si="25"/>
        <v xml:space="preserve"> </v>
      </c>
    </row>
    <row r="861" spans="5:6" x14ac:dyDescent="0.35">
      <c r="E861" s="96" t="str">
        <f t="shared" si="25"/>
        <v xml:space="preserve"> </v>
      </c>
      <c r="F861" s="96" t="str">
        <f t="shared" si="25"/>
        <v xml:space="preserve"> </v>
      </c>
    </row>
    <row r="862" spans="5:6" x14ac:dyDescent="0.35">
      <c r="E862" s="96" t="str">
        <f t="shared" si="25"/>
        <v xml:space="preserve"> </v>
      </c>
      <c r="F862" s="96" t="str">
        <f t="shared" si="25"/>
        <v xml:space="preserve"> </v>
      </c>
    </row>
    <row r="863" spans="5:6" x14ac:dyDescent="0.35">
      <c r="E863" s="96" t="str">
        <f t="shared" si="25"/>
        <v xml:space="preserve"> </v>
      </c>
      <c r="F863" s="96" t="str">
        <f t="shared" si="25"/>
        <v xml:space="preserve"> </v>
      </c>
    </row>
    <row r="864" spans="5:6" x14ac:dyDescent="0.35">
      <c r="E864" s="96" t="str">
        <f t="shared" si="25"/>
        <v xml:space="preserve"> </v>
      </c>
      <c r="F864" s="96" t="str">
        <f t="shared" si="25"/>
        <v xml:space="preserve"> </v>
      </c>
    </row>
    <row r="865" spans="5:6" x14ac:dyDescent="0.35">
      <c r="E865" s="96" t="str">
        <f t="shared" si="25"/>
        <v xml:space="preserve"> </v>
      </c>
      <c r="F865" s="96" t="str">
        <f t="shared" si="25"/>
        <v xml:space="preserve"> </v>
      </c>
    </row>
    <row r="866" spans="5:6" x14ac:dyDescent="0.35">
      <c r="E866" s="96" t="str">
        <f t="shared" si="25"/>
        <v xml:space="preserve"> </v>
      </c>
      <c r="F866" s="96" t="str">
        <f t="shared" si="25"/>
        <v xml:space="preserve"> </v>
      </c>
    </row>
    <row r="867" spans="5:6" x14ac:dyDescent="0.35">
      <c r="E867" s="96" t="str">
        <f t="shared" si="25"/>
        <v xml:space="preserve"> </v>
      </c>
      <c r="F867" s="96" t="str">
        <f t="shared" si="25"/>
        <v xml:space="preserve"> </v>
      </c>
    </row>
    <row r="868" spans="5:6" x14ac:dyDescent="0.35">
      <c r="E868" s="96" t="str">
        <f t="shared" si="25"/>
        <v xml:space="preserve"> </v>
      </c>
      <c r="F868" s="96" t="str">
        <f t="shared" si="25"/>
        <v xml:space="preserve"> </v>
      </c>
    </row>
    <row r="869" spans="5:6" x14ac:dyDescent="0.35">
      <c r="E869" s="96" t="str">
        <f t="shared" si="25"/>
        <v xml:space="preserve"> </v>
      </c>
      <c r="F869" s="96" t="str">
        <f t="shared" si="25"/>
        <v xml:space="preserve"> </v>
      </c>
    </row>
    <row r="870" spans="5:6" x14ac:dyDescent="0.35">
      <c r="E870" s="96" t="str">
        <f t="shared" si="25"/>
        <v xml:space="preserve"> </v>
      </c>
      <c r="F870" s="96" t="str">
        <f t="shared" si="25"/>
        <v xml:space="preserve"> </v>
      </c>
    </row>
    <row r="871" spans="5:6" x14ac:dyDescent="0.35">
      <c r="E871" s="96" t="str">
        <f t="shared" si="25"/>
        <v xml:space="preserve"> </v>
      </c>
      <c r="F871" s="96" t="str">
        <f t="shared" si="25"/>
        <v xml:space="preserve"> </v>
      </c>
    </row>
    <row r="872" spans="5:6" x14ac:dyDescent="0.35">
      <c r="E872" s="96" t="str">
        <f t="shared" si="25"/>
        <v xml:space="preserve"> </v>
      </c>
      <c r="F872" s="96" t="str">
        <f t="shared" si="25"/>
        <v xml:space="preserve"> </v>
      </c>
    </row>
    <row r="873" spans="5:6" x14ac:dyDescent="0.35">
      <c r="E873" s="96" t="str">
        <f t="shared" si="25"/>
        <v xml:space="preserve"> </v>
      </c>
      <c r="F873" s="96" t="str">
        <f t="shared" si="25"/>
        <v xml:space="preserve"> </v>
      </c>
    </row>
    <row r="874" spans="5:6" x14ac:dyDescent="0.35">
      <c r="E874" s="96" t="str">
        <f t="shared" si="25"/>
        <v xml:space="preserve"> </v>
      </c>
      <c r="F874" s="96" t="str">
        <f t="shared" si="25"/>
        <v xml:space="preserve"> </v>
      </c>
    </row>
    <row r="875" spans="5:6" x14ac:dyDescent="0.35">
      <c r="E875" s="96" t="str">
        <f t="shared" si="25"/>
        <v xml:space="preserve"> </v>
      </c>
      <c r="F875" s="96" t="str">
        <f t="shared" si="25"/>
        <v xml:space="preserve"> </v>
      </c>
    </row>
    <row r="876" spans="5:6" x14ac:dyDescent="0.35">
      <c r="E876" s="96" t="str">
        <f t="shared" si="25"/>
        <v xml:space="preserve"> </v>
      </c>
      <c r="F876" s="96" t="str">
        <f t="shared" si="25"/>
        <v xml:space="preserve"> </v>
      </c>
    </row>
    <row r="877" spans="5:6" x14ac:dyDescent="0.35">
      <c r="E877" s="96" t="str">
        <f t="shared" si="25"/>
        <v xml:space="preserve"> </v>
      </c>
      <c r="F877" s="96" t="str">
        <f t="shared" si="25"/>
        <v xml:space="preserve"> </v>
      </c>
    </row>
    <row r="878" spans="5:6" x14ac:dyDescent="0.35">
      <c r="E878" s="96" t="str">
        <f t="shared" si="25"/>
        <v xml:space="preserve"> </v>
      </c>
      <c r="F878" s="96" t="str">
        <f t="shared" si="25"/>
        <v xml:space="preserve"> </v>
      </c>
    </row>
    <row r="879" spans="5:6" x14ac:dyDescent="0.35">
      <c r="E879" s="96" t="str">
        <f t="shared" si="25"/>
        <v xml:space="preserve"> </v>
      </c>
      <c r="F879" s="96" t="str">
        <f t="shared" si="25"/>
        <v xml:space="preserve"> </v>
      </c>
    </row>
    <row r="880" spans="5:6" x14ac:dyDescent="0.35">
      <c r="E880" s="96" t="str">
        <f t="shared" si="25"/>
        <v xml:space="preserve"> </v>
      </c>
      <c r="F880" s="96" t="str">
        <f t="shared" si="25"/>
        <v xml:space="preserve"> </v>
      </c>
    </row>
    <row r="881" spans="5:6" x14ac:dyDescent="0.35">
      <c r="E881" s="96" t="str">
        <f t="shared" si="25"/>
        <v xml:space="preserve"> </v>
      </c>
      <c r="F881" s="96" t="str">
        <f t="shared" si="25"/>
        <v xml:space="preserve"> </v>
      </c>
    </row>
    <row r="882" spans="5:6" x14ac:dyDescent="0.35">
      <c r="E882" s="96" t="str">
        <f t="shared" si="25"/>
        <v xml:space="preserve"> </v>
      </c>
      <c r="F882" s="96" t="str">
        <f t="shared" si="25"/>
        <v xml:space="preserve"> </v>
      </c>
    </row>
    <row r="883" spans="5:6" x14ac:dyDescent="0.35">
      <c r="E883" s="96" t="str">
        <f t="shared" si="25"/>
        <v xml:space="preserve"> </v>
      </c>
      <c r="F883" s="96" t="str">
        <f t="shared" si="25"/>
        <v xml:space="preserve"> </v>
      </c>
    </row>
    <row r="884" spans="5:6" x14ac:dyDescent="0.35">
      <c r="E884" s="96" t="str">
        <f t="shared" si="25"/>
        <v xml:space="preserve"> </v>
      </c>
      <c r="F884" s="96" t="str">
        <f t="shared" si="25"/>
        <v xml:space="preserve"> </v>
      </c>
    </row>
    <row r="885" spans="5:6" x14ac:dyDescent="0.35">
      <c r="E885" s="96" t="str">
        <f t="shared" si="25"/>
        <v xml:space="preserve"> </v>
      </c>
      <c r="F885" s="96" t="str">
        <f t="shared" si="25"/>
        <v xml:space="preserve"> </v>
      </c>
    </row>
    <row r="886" spans="5:6" x14ac:dyDescent="0.35">
      <c r="E886" s="96" t="str">
        <f t="shared" si="25"/>
        <v xml:space="preserve"> </v>
      </c>
      <c r="F886" s="96" t="str">
        <f t="shared" si="25"/>
        <v xml:space="preserve"> </v>
      </c>
    </row>
    <row r="887" spans="5:6" x14ac:dyDescent="0.35">
      <c r="E887" s="96" t="str">
        <f t="shared" si="25"/>
        <v xml:space="preserve"> </v>
      </c>
      <c r="F887" s="96" t="str">
        <f t="shared" si="25"/>
        <v xml:space="preserve"> </v>
      </c>
    </row>
    <row r="888" spans="5:6" x14ac:dyDescent="0.35">
      <c r="E888" s="96" t="str">
        <f t="shared" si="25"/>
        <v xml:space="preserve"> </v>
      </c>
      <c r="F888" s="96" t="str">
        <f t="shared" si="25"/>
        <v xml:space="preserve"> </v>
      </c>
    </row>
    <row r="889" spans="5:6" x14ac:dyDescent="0.35">
      <c r="E889" s="96" t="str">
        <f t="shared" si="25"/>
        <v xml:space="preserve"> </v>
      </c>
      <c r="F889" s="96" t="str">
        <f t="shared" si="25"/>
        <v xml:space="preserve"> </v>
      </c>
    </row>
    <row r="890" spans="5:6" x14ac:dyDescent="0.35">
      <c r="E890" s="96" t="str">
        <f t="shared" si="25"/>
        <v xml:space="preserve"> </v>
      </c>
      <c r="F890" s="96" t="str">
        <f t="shared" si="25"/>
        <v xml:space="preserve"> </v>
      </c>
    </row>
    <row r="891" spans="5:6" x14ac:dyDescent="0.35">
      <c r="E891" s="96" t="str">
        <f t="shared" si="25"/>
        <v xml:space="preserve"> </v>
      </c>
      <c r="F891" s="96" t="str">
        <f t="shared" si="25"/>
        <v xml:space="preserve"> </v>
      </c>
    </row>
    <row r="892" spans="5:6" x14ac:dyDescent="0.35">
      <c r="E892" s="96" t="str">
        <f t="shared" si="25"/>
        <v xml:space="preserve"> </v>
      </c>
      <c r="F892" s="96" t="str">
        <f t="shared" si="25"/>
        <v xml:space="preserve"> </v>
      </c>
    </row>
    <row r="893" spans="5:6" x14ac:dyDescent="0.35">
      <c r="E893" s="96" t="str">
        <f t="shared" si="25"/>
        <v xml:space="preserve"> </v>
      </c>
      <c r="F893" s="96" t="str">
        <f t="shared" si="25"/>
        <v xml:space="preserve"> </v>
      </c>
    </row>
    <row r="894" spans="5:6" x14ac:dyDescent="0.35">
      <c r="E894" s="96" t="str">
        <f t="shared" si="25"/>
        <v xml:space="preserve"> </v>
      </c>
      <c r="F894" s="96" t="str">
        <f t="shared" si="25"/>
        <v xml:space="preserve"> </v>
      </c>
    </row>
    <row r="895" spans="5:6" x14ac:dyDescent="0.35">
      <c r="E895" s="96" t="str">
        <f t="shared" si="25"/>
        <v xml:space="preserve"> </v>
      </c>
      <c r="F895" s="96" t="str">
        <f t="shared" si="25"/>
        <v xml:space="preserve"> </v>
      </c>
    </row>
    <row r="896" spans="5:6" x14ac:dyDescent="0.35">
      <c r="E896" s="96" t="str">
        <f t="shared" si="25"/>
        <v xml:space="preserve"> </v>
      </c>
      <c r="F896" s="96" t="str">
        <f t="shared" si="25"/>
        <v xml:space="preserve"> </v>
      </c>
    </row>
    <row r="897" spans="5:6" x14ac:dyDescent="0.35">
      <c r="E897" s="96" t="str">
        <f t="shared" si="25"/>
        <v xml:space="preserve"> </v>
      </c>
      <c r="F897" s="96" t="str">
        <f t="shared" si="25"/>
        <v xml:space="preserve"> </v>
      </c>
    </row>
    <row r="898" spans="5:6" x14ac:dyDescent="0.35">
      <c r="E898" s="96" t="str">
        <f t="shared" si="25"/>
        <v xml:space="preserve"> </v>
      </c>
      <c r="F898" s="96" t="str">
        <f t="shared" si="25"/>
        <v xml:space="preserve"> </v>
      </c>
    </row>
    <row r="899" spans="5:6" x14ac:dyDescent="0.35">
      <c r="E899" s="96" t="str">
        <f t="shared" si="25"/>
        <v xml:space="preserve"> </v>
      </c>
      <c r="F899" s="96" t="str">
        <f t="shared" si="25"/>
        <v xml:space="preserve"> </v>
      </c>
    </row>
    <row r="900" spans="5:6" x14ac:dyDescent="0.35">
      <c r="E900" s="96" t="str">
        <f t="shared" si="25"/>
        <v xml:space="preserve"> </v>
      </c>
      <c r="F900" s="96" t="str">
        <f t="shared" si="25"/>
        <v xml:space="preserve"> </v>
      </c>
    </row>
    <row r="901" spans="5:6" x14ac:dyDescent="0.35">
      <c r="E901" s="96" t="str">
        <f t="shared" si="25"/>
        <v xml:space="preserve"> </v>
      </c>
      <c r="F901" s="96" t="str">
        <f t="shared" si="25"/>
        <v xml:space="preserve"> </v>
      </c>
    </row>
    <row r="902" spans="5:6" x14ac:dyDescent="0.35">
      <c r="E902" s="96" t="str">
        <f t="shared" si="25"/>
        <v xml:space="preserve"> </v>
      </c>
      <c r="F902" s="96" t="str">
        <f t="shared" si="25"/>
        <v xml:space="preserve"> </v>
      </c>
    </row>
    <row r="903" spans="5:6" x14ac:dyDescent="0.35">
      <c r="E903" s="96" t="str">
        <f t="shared" si="25"/>
        <v xml:space="preserve"> </v>
      </c>
      <c r="F903" s="96" t="str">
        <f t="shared" si="25"/>
        <v xml:space="preserve"> </v>
      </c>
    </row>
    <row r="904" spans="5:6" x14ac:dyDescent="0.35">
      <c r="E904" s="96" t="str">
        <f t="shared" si="25"/>
        <v xml:space="preserve"> </v>
      </c>
      <c r="F904" s="96" t="str">
        <f t="shared" si="25"/>
        <v xml:space="preserve"> </v>
      </c>
    </row>
    <row r="905" spans="5:6" x14ac:dyDescent="0.35">
      <c r="E905" s="96" t="str">
        <f t="shared" si="25"/>
        <v xml:space="preserve"> </v>
      </c>
      <c r="F905" s="96" t="str">
        <f t="shared" si="25"/>
        <v xml:space="preserve"> </v>
      </c>
    </row>
    <row r="906" spans="5:6" x14ac:dyDescent="0.35">
      <c r="E906" s="96" t="str">
        <f t="shared" si="25"/>
        <v xml:space="preserve"> </v>
      </c>
      <c r="F906" s="96" t="str">
        <f t="shared" si="25"/>
        <v xml:space="preserve"> </v>
      </c>
    </row>
    <row r="907" spans="5:6" x14ac:dyDescent="0.35">
      <c r="E907" s="96" t="str">
        <f t="shared" si="25"/>
        <v xml:space="preserve"> </v>
      </c>
      <c r="F907" s="96" t="str">
        <f t="shared" si="25"/>
        <v xml:space="preserve"> </v>
      </c>
    </row>
    <row r="908" spans="5:6" x14ac:dyDescent="0.35">
      <c r="E908" s="96" t="str">
        <f t="shared" si="25"/>
        <v xml:space="preserve"> </v>
      </c>
      <c r="F908" s="96" t="str">
        <f t="shared" si="25"/>
        <v xml:space="preserve"> </v>
      </c>
    </row>
    <row r="909" spans="5:6" x14ac:dyDescent="0.35">
      <c r="E909" s="96" t="str">
        <f t="shared" si="25"/>
        <v xml:space="preserve"> </v>
      </c>
      <c r="F909" s="96" t="str">
        <f t="shared" si="25"/>
        <v xml:space="preserve"> </v>
      </c>
    </row>
    <row r="910" spans="5:6" x14ac:dyDescent="0.35">
      <c r="E910" s="96" t="str">
        <f t="shared" si="25"/>
        <v xml:space="preserve"> </v>
      </c>
      <c r="F910" s="96" t="str">
        <f t="shared" si="25"/>
        <v xml:space="preserve"> </v>
      </c>
    </row>
    <row r="911" spans="5:6" x14ac:dyDescent="0.35">
      <c r="E911" s="96" t="str">
        <f t="shared" si="25"/>
        <v xml:space="preserve"> </v>
      </c>
      <c r="F911" s="96" t="str">
        <f t="shared" si="25"/>
        <v xml:space="preserve"> </v>
      </c>
    </row>
    <row r="912" spans="5:6" x14ac:dyDescent="0.35">
      <c r="E912" s="96" t="str">
        <f t="shared" si="25"/>
        <v xml:space="preserve"> </v>
      </c>
      <c r="F912" s="96" t="str">
        <f t="shared" si="25"/>
        <v xml:space="preserve"> </v>
      </c>
    </row>
    <row r="913" spans="5:6" x14ac:dyDescent="0.35">
      <c r="E913" s="96" t="str">
        <f t="shared" si="25"/>
        <v xml:space="preserve"> </v>
      </c>
      <c r="F913" s="96" t="str">
        <f t="shared" si="25"/>
        <v xml:space="preserve"> </v>
      </c>
    </row>
    <row r="914" spans="5:6" x14ac:dyDescent="0.35">
      <c r="E914" s="96" t="str">
        <f t="shared" si="25"/>
        <v xml:space="preserve"> </v>
      </c>
      <c r="F914" s="96" t="str">
        <f t="shared" si="25"/>
        <v xml:space="preserve"> </v>
      </c>
    </row>
    <row r="915" spans="5:6" x14ac:dyDescent="0.35">
      <c r="E915" s="96" t="str">
        <f t="shared" si="25"/>
        <v xml:space="preserve"> </v>
      </c>
      <c r="F915" s="96" t="str">
        <f t="shared" si="25"/>
        <v xml:space="preserve"> </v>
      </c>
    </row>
    <row r="916" spans="5:6" x14ac:dyDescent="0.35">
      <c r="E916" s="96" t="str">
        <f t="shared" si="25"/>
        <v xml:space="preserve"> </v>
      </c>
      <c r="F916" s="96" t="str">
        <f t="shared" si="25"/>
        <v xml:space="preserve"> </v>
      </c>
    </row>
    <row r="917" spans="5:6" x14ac:dyDescent="0.35">
      <c r="E917" s="96" t="str">
        <f t="shared" si="25"/>
        <v xml:space="preserve"> </v>
      </c>
      <c r="F917" s="96" t="str">
        <f t="shared" si="25"/>
        <v xml:space="preserve"> </v>
      </c>
    </row>
    <row r="918" spans="5:6" x14ac:dyDescent="0.35">
      <c r="E918" s="96" t="str">
        <f t="shared" si="25"/>
        <v xml:space="preserve"> </v>
      </c>
      <c r="F918" s="96" t="str">
        <f t="shared" si="25"/>
        <v xml:space="preserve"> </v>
      </c>
    </row>
    <row r="919" spans="5:6" x14ac:dyDescent="0.35">
      <c r="E919" s="96" t="str">
        <f t="shared" ref="E919:F982" si="26">IF((IFERROR(C919/C918-1," "))=-1," ",IFERROR(C919/C918-1," "))</f>
        <v xml:space="preserve"> </v>
      </c>
      <c r="F919" s="96" t="str">
        <f t="shared" si="26"/>
        <v xml:space="preserve"> </v>
      </c>
    </row>
    <row r="920" spans="5:6" x14ac:dyDescent="0.35">
      <c r="E920" s="96" t="str">
        <f t="shared" si="26"/>
        <v xml:space="preserve"> </v>
      </c>
      <c r="F920" s="96" t="str">
        <f t="shared" si="26"/>
        <v xml:space="preserve"> </v>
      </c>
    </row>
    <row r="921" spans="5:6" x14ac:dyDescent="0.35">
      <c r="E921" s="96" t="str">
        <f t="shared" si="26"/>
        <v xml:space="preserve"> </v>
      </c>
      <c r="F921" s="96" t="str">
        <f t="shared" si="26"/>
        <v xml:space="preserve"> </v>
      </c>
    </row>
    <row r="922" spans="5:6" x14ac:dyDescent="0.35">
      <c r="E922" s="96" t="str">
        <f t="shared" si="26"/>
        <v xml:space="preserve"> </v>
      </c>
      <c r="F922" s="96" t="str">
        <f t="shared" si="26"/>
        <v xml:space="preserve"> </v>
      </c>
    </row>
    <row r="923" spans="5:6" x14ac:dyDescent="0.35">
      <c r="E923" s="96" t="str">
        <f t="shared" si="26"/>
        <v xml:space="preserve"> </v>
      </c>
      <c r="F923" s="96" t="str">
        <f t="shared" si="26"/>
        <v xml:space="preserve"> </v>
      </c>
    </row>
    <row r="924" spans="5:6" x14ac:dyDescent="0.35">
      <c r="E924" s="96" t="str">
        <f t="shared" si="26"/>
        <v xml:space="preserve"> </v>
      </c>
      <c r="F924" s="96" t="str">
        <f t="shared" si="26"/>
        <v xml:space="preserve"> </v>
      </c>
    </row>
    <row r="925" spans="5:6" x14ac:dyDescent="0.35">
      <c r="E925" s="96" t="str">
        <f t="shared" si="26"/>
        <v xml:space="preserve"> </v>
      </c>
      <c r="F925" s="96" t="str">
        <f t="shared" si="26"/>
        <v xml:space="preserve"> </v>
      </c>
    </row>
    <row r="926" spans="5:6" x14ac:dyDescent="0.35">
      <c r="E926" s="96" t="str">
        <f t="shared" si="26"/>
        <v xml:space="preserve"> </v>
      </c>
      <c r="F926" s="96" t="str">
        <f t="shared" si="26"/>
        <v xml:space="preserve"> </v>
      </c>
    </row>
    <row r="927" spans="5:6" x14ac:dyDescent="0.35">
      <c r="E927" s="96" t="str">
        <f t="shared" si="26"/>
        <v xml:space="preserve"> </v>
      </c>
      <c r="F927" s="96" t="str">
        <f t="shared" si="26"/>
        <v xml:space="preserve"> </v>
      </c>
    </row>
    <row r="928" spans="5:6" x14ac:dyDescent="0.35">
      <c r="E928" s="96" t="str">
        <f t="shared" si="26"/>
        <v xml:space="preserve"> </v>
      </c>
      <c r="F928" s="96" t="str">
        <f t="shared" si="26"/>
        <v xml:space="preserve"> </v>
      </c>
    </row>
    <row r="929" spans="5:6" x14ac:dyDescent="0.35">
      <c r="E929" s="96" t="str">
        <f t="shared" si="26"/>
        <v xml:space="preserve"> </v>
      </c>
      <c r="F929" s="96" t="str">
        <f t="shared" si="26"/>
        <v xml:space="preserve"> </v>
      </c>
    </row>
    <row r="930" spans="5:6" x14ac:dyDescent="0.35">
      <c r="E930" s="96" t="str">
        <f t="shared" si="26"/>
        <v xml:space="preserve"> </v>
      </c>
      <c r="F930" s="96" t="str">
        <f t="shared" si="26"/>
        <v xml:space="preserve"> </v>
      </c>
    </row>
    <row r="931" spans="5:6" x14ac:dyDescent="0.35">
      <c r="E931" s="96" t="str">
        <f t="shared" si="26"/>
        <v xml:space="preserve"> </v>
      </c>
      <c r="F931" s="96" t="str">
        <f t="shared" si="26"/>
        <v xml:space="preserve"> </v>
      </c>
    </row>
    <row r="932" spans="5:6" x14ac:dyDescent="0.35">
      <c r="E932" s="96" t="str">
        <f t="shared" si="26"/>
        <v xml:space="preserve"> </v>
      </c>
      <c r="F932" s="96" t="str">
        <f t="shared" si="26"/>
        <v xml:space="preserve"> </v>
      </c>
    </row>
    <row r="933" spans="5:6" x14ac:dyDescent="0.35">
      <c r="E933" s="96" t="str">
        <f t="shared" si="26"/>
        <v xml:space="preserve"> </v>
      </c>
      <c r="F933" s="96" t="str">
        <f t="shared" si="26"/>
        <v xml:space="preserve"> </v>
      </c>
    </row>
    <row r="934" spans="5:6" x14ac:dyDescent="0.35">
      <c r="E934" s="96" t="str">
        <f t="shared" si="26"/>
        <v xml:space="preserve"> </v>
      </c>
      <c r="F934" s="96" t="str">
        <f t="shared" si="26"/>
        <v xml:space="preserve"> </v>
      </c>
    </row>
    <row r="935" spans="5:6" x14ac:dyDescent="0.35">
      <c r="E935" s="96" t="str">
        <f t="shared" si="26"/>
        <v xml:space="preserve"> </v>
      </c>
      <c r="F935" s="96" t="str">
        <f t="shared" si="26"/>
        <v xml:space="preserve"> </v>
      </c>
    </row>
    <row r="936" spans="5:6" x14ac:dyDescent="0.35">
      <c r="E936" s="96" t="str">
        <f t="shared" si="26"/>
        <v xml:space="preserve"> </v>
      </c>
      <c r="F936" s="96" t="str">
        <f t="shared" si="26"/>
        <v xml:space="preserve"> </v>
      </c>
    </row>
    <row r="937" spans="5:6" x14ac:dyDescent="0.35">
      <c r="E937" s="96" t="str">
        <f t="shared" si="26"/>
        <v xml:space="preserve"> </v>
      </c>
      <c r="F937" s="96" t="str">
        <f t="shared" si="26"/>
        <v xml:space="preserve"> </v>
      </c>
    </row>
    <row r="938" spans="5:6" x14ac:dyDescent="0.35">
      <c r="E938" s="96" t="str">
        <f t="shared" si="26"/>
        <v xml:space="preserve"> </v>
      </c>
      <c r="F938" s="96" t="str">
        <f t="shared" si="26"/>
        <v xml:space="preserve"> </v>
      </c>
    </row>
    <row r="939" spans="5:6" x14ac:dyDescent="0.35">
      <c r="E939" s="96" t="str">
        <f t="shared" si="26"/>
        <v xml:space="preserve"> </v>
      </c>
      <c r="F939" s="96" t="str">
        <f t="shared" si="26"/>
        <v xml:space="preserve"> </v>
      </c>
    </row>
    <row r="940" spans="5:6" x14ac:dyDescent="0.35">
      <c r="E940" s="96" t="str">
        <f t="shared" si="26"/>
        <v xml:space="preserve"> </v>
      </c>
      <c r="F940" s="96" t="str">
        <f t="shared" si="26"/>
        <v xml:space="preserve"> </v>
      </c>
    </row>
    <row r="941" spans="5:6" x14ac:dyDescent="0.35">
      <c r="E941" s="96" t="str">
        <f t="shared" si="26"/>
        <v xml:space="preserve"> </v>
      </c>
      <c r="F941" s="96" t="str">
        <f t="shared" si="26"/>
        <v xml:space="preserve"> </v>
      </c>
    </row>
    <row r="942" spans="5:6" x14ac:dyDescent="0.35">
      <c r="E942" s="96" t="str">
        <f t="shared" si="26"/>
        <v xml:space="preserve"> </v>
      </c>
      <c r="F942" s="96" t="str">
        <f t="shared" si="26"/>
        <v xml:space="preserve"> </v>
      </c>
    </row>
    <row r="943" spans="5:6" x14ac:dyDescent="0.35">
      <c r="E943" s="96" t="str">
        <f t="shared" si="26"/>
        <v xml:space="preserve"> </v>
      </c>
      <c r="F943" s="96" t="str">
        <f t="shared" si="26"/>
        <v xml:space="preserve"> </v>
      </c>
    </row>
    <row r="944" spans="5:6" x14ac:dyDescent="0.35">
      <c r="E944" s="96" t="str">
        <f t="shared" si="26"/>
        <v xml:space="preserve"> </v>
      </c>
      <c r="F944" s="96" t="str">
        <f t="shared" si="26"/>
        <v xml:space="preserve"> </v>
      </c>
    </row>
    <row r="945" spans="5:6" x14ac:dyDescent="0.35">
      <c r="E945" s="96" t="str">
        <f t="shared" si="26"/>
        <v xml:space="preserve"> </v>
      </c>
      <c r="F945" s="96" t="str">
        <f t="shared" si="26"/>
        <v xml:space="preserve"> </v>
      </c>
    </row>
    <row r="946" spans="5:6" x14ac:dyDescent="0.35">
      <c r="E946" s="96" t="str">
        <f t="shared" si="26"/>
        <v xml:space="preserve"> </v>
      </c>
      <c r="F946" s="96" t="str">
        <f t="shared" si="26"/>
        <v xml:space="preserve"> </v>
      </c>
    </row>
    <row r="947" spans="5:6" x14ac:dyDescent="0.35">
      <c r="E947" s="96" t="str">
        <f t="shared" si="26"/>
        <v xml:space="preserve"> </v>
      </c>
      <c r="F947" s="96" t="str">
        <f t="shared" si="26"/>
        <v xml:space="preserve"> </v>
      </c>
    </row>
    <row r="948" spans="5:6" x14ac:dyDescent="0.35">
      <c r="E948" s="96" t="str">
        <f t="shared" si="26"/>
        <v xml:space="preserve"> </v>
      </c>
      <c r="F948" s="96" t="str">
        <f t="shared" si="26"/>
        <v xml:space="preserve"> </v>
      </c>
    </row>
    <row r="949" spans="5:6" x14ac:dyDescent="0.35">
      <c r="E949" s="96" t="str">
        <f t="shared" si="26"/>
        <v xml:space="preserve"> </v>
      </c>
      <c r="F949" s="96" t="str">
        <f t="shared" si="26"/>
        <v xml:space="preserve"> </v>
      </c>
    </row>
    <row r="950" spans="5:6" x14ac:dyDescent="0.35">
      <c r="E950" s="96" t="str">
        <f t="shared" si="26"/>
        <v xml:space="preserve"> </v>
      </c>
      <c r="F950" s="96" t="str">
        <f t="shared" si="26"/>
        <v xml:space="preserve"> </v>
      </c>
    </row>
    <row r="951" spans="5:6" x14ac:dyDescent="0.35">
      <c r="E951" s="96" t="str">
        <f t="shared" si="26"/>
        <v xml:space="preserve"> </v>
      </c>
      <c r="F951" s="96" t="str">
        <f t="shared" si="26"/>
        <v xml:space="preserve"> </v>
      </c>
    </row>
    <row r="952" spans="5:6" x14ac:dyDescent="0.35">
      <c r="E952" s="96" t="str">
        <f t="shared" si="26"/>
        <v xml:space="preserve"> </v>
      </c>
      <c r="F952" s="96" t="str">
        <f t="shared" si="26"/>
        <v xml:space="preserve"> </v>
      </c>
    </row>
    <row r="953" spans="5:6" x14ac:dyDescent="0.35">
      <c r="E953" s="96" t="str">
        <f t="shared" si="26"/>
        <v xml:space="preserve"> </v>
      </c>
      <c r="F953" s="96" t="str">
        <f t="shared" si="26"/>
        <v xml:space="preserve"> </v>
      </c>
    </row>
    <row r="954" spans="5:6" x14ac:dyDescent="0.35">
      <c r="E954" s="96" t="str">
        <f t="shared" si="26"/>
        <v xml:space="preserve"> </v>
      </c>
      <c r="F954" s="96" t="str">
        <f t="shared" si="26"/>
        <v xml:space="preserve"> </v>
      </c>
    </row>
    <row r="955" spans="5:6" x14ac:dyDescent="0.35">
      <c r="E955" s="96" t="str">
        <f t="shared" si="26"/>
        <v xml:space="preserve"> </v>
      </c>
      <c r="F955" s="96" t="str">
        <f t="shared" si="26"/>
        <v xml:space="preserve"> </v>
      </c>
    </row>
    <row r="956" spans="5:6" x14ac:dyDescent="0.35">
      <c r="E956" s="96" t="str">
        <f t="shared" si="26"/>
        <v xml:space="preserve"> </v>
      </c>
      <c r="F956" s="96" t="str">
        <f t="shared" si="26"/>
        <v xml:space="preserve"> </v>
      </c>
    </row>
    <row r="957" spans="5:6" x14ac:dyDescent="0.35">
      <c r="E957" s="96" t="str">
        <f t="shared" si="26"/>
        <v xml:space="preserve"> </v>
      </c>
      <c r="F957" s="96" t="str">
        <f t="shared" si="26"/>
        <v xml:space="preserve"> </v>
      </c>
    </row>
    <row r="958" spans="5:6" x14ac:dyDescent="0.35">
      <c r="E958" s="96" t="str">
        <f t="shared" si="26"/>
        <v xml:space="preserve"> </v>
      </c>
      <c r="F958" s="96" t="str">
        <f t="shared" si="26"/>
        <v xml:space="preserve"> </v>
      </c>
    </row>
    <row r="959" spans="5:6" x14ac:dyDescent="0.35">
      <c r="E959" s="96" t="str">
        <f t="shared" si="26"/>
        <v xml:space="preserve"> </v>
      </c>
      <c r="F959" s="96" t="str">
        <f t="shared" si="26"/>
        <v xml:space="preserve"> </v>
      </c>
    </row>
    <row r="960" spans="5:6" x14ac:dyDescent="0.35">
      <c r="E960" s="96" t="str">
        <f t="shared" si="26"/>
        <v xml:space="preserve"> </v>
      </c>
      <c r="F960" s="96" t="str">
        <f t="shared" si="26"/>
        <v xml:space="preserve"> </v>
      </c>
    </row>
    <row r="961" spans="5:6" x14ac:dyDescent="0.35">
      <c r="E961" s="96" t="str">
        <f t="shared" si="26"/>
        <v xml:space="preserve"> </v>
      </c>
      <c r="F961" s="96" t="str">
        <f t="shared" si="26"/>
        <v xml:space="preserve"> </v>
      </c>
    </row>
    <row r="962" spans="5:6" x14ac:dyDescent="0.35">
      <c r="E962" s="96" t="str">
        <f t="shared" si="26"/>
        <v xml:space="preserve"> </v>
      </c>
      <c r="F962" s="96" t="str">
        <f t="shared" si="26"/>
        <v xml:space="preserve"> </v>
      </c>
    </row>
    <row r="963" spans="5:6" x14ac:dyDescent="0.35">
      <c r="E963" s="96" t="str">
        <f t="shared" si="26"/>
        <v xml:space="preserve"> </v>
      </c>
      <c r="F963" s="96" t="str">
        <f t="shared" si="26"/>
        <v xml:space="preserve"> </v>
      </c>
    </row>
    <row r="964" spans="5:6" x14ac:dyDescent="0.35">
      <c r="E964" s="96" t="str">
        <f t="shared" si="26"/>
        <v xml:space="preserve"> </v>
      </c>
      <c r="F964" s="96" t="str">
        <f t="shared" si="26"/>
        <v xml:space="preserve"> </v>
      </c>
    </row>
    <row r="965" spans="5:6" x14ac:dyDescent="0.35">
      <c r="E965" s="96" t="str">
        <f t="shared" si="26"/>
        <v xml:space="preserve"> </v>
      </c>
      <c r="F965" s="96" t="str">
        <f t="shared" si="26"/>
        <v xml:space="preserve"> </v>
      </c>
    </row>
    <row r="966" spans="5:6" x14ac:dyDescent="0.35">
      <c r="E966" s="96" t="str">
        <f t="shared" si="26"/>
        <v xml:space="preserve"> </v>
      </c>
      <c r="F966" s="96" t="str">
        <f t="shared" si="26"/>
        <v xml:space="preserve"> </v>
      </c>
    </row>
    <row r="967" spans="5:6" x14ac:dyDescent="0.35">
      <c r="E967" s="96" t="str">
        <f t="shared" si="26"/>
        <v xml:space="preserve"> </v>
      </c>
      <c r="F967" s="96" t="str">
        <f t="shared" si="26"/>
        <v xml:space="preserve"> </v>
      </c>
    </row>
    <row r="968" spans="5:6" x14ac:dyDescent="0.35">
      <c r="E968" s="96" t="str">
        <f t="shared" si="26"/>
        <v xml:space="preserve"> </v>
      </c>
      <c r="F968" s="96" t="str">
        <f t="shared" si="26"/>
        <v xml:space="preserve"> </v>
      </c>
    </row>
    <row r="969" spans="5:6" x14ac:dyDescent="0.35">
      <c r="E969" s="96" t="str">
        <f t="shared" si="26"/>
        <v xml:space="preserve"> </v>
      </c>
      <c r="F969" s="96" t="str">
        <f t="shared" si="26"/>
        <v xml:space="preserve"> </v>
      </c>
    </row>
    <row r="970" spans="5:6" x14ac:dyDescent="0.35">
      <c r="E970" s="96" t="str">
        <f t="shared" si="26"/>
        <v xml:space="preserve"> </v>
      </c>
      <c r="F970" s="96" t="str">
        <f t="shared" si="26"/>
        <v xml:space="preserve"> </v>
      </c>
    </row>
    <row r="971" spans="5:6" x14ac:dyDescent="0.35">
      <c r="E971" s="96" t="str">
        <f t="shared" si="26"/>
        <v xml:space="preserve"> </v>
      </c>
      <c r="F971" s="96" t="str">
        <f t="shared" si="26"/>
        <v xml:space="preserve"> </v>
      </c>
    </row>
    <row r="972" spans="5:6" x14ac:dyDescent="0.35">
      <c r="E972" s="96" t="str">
        <f t="shared" si="26"/>
        <v xml:space="preserve"> </v>
      </c>
      <c r="F972" s="96" t="str">
        <f t="shared" si="26"/>
        <v xml:space="preserve"> </v>
      </c>
    </row>
    <row r="973" spans="5:6" x14ac:dyDescent="0.35">
      <c r="E973" s="96" t="str">
        <f t="shared" si="26"/>
        <v xml:space="preserve"> </v>
      </c>
      <c r="F973" s="96" t="str">
        <f t="shared" si="26"/>
        <v xml:space="preserve"> </v>
      </c>
    </row>
    <row r="974" spans="5:6" x14ac:dyDescent="0.35">
      <c r="E974" s="96" t="str">
        <f t="shared" si="26"/>
        <v xml:space="preserve"> </v>
      </c>
      <c r="F974" s="96" t="str">
        <f t="shared" si="26"/>
        <v xml:space="preserve"> </v>
      </c>
    </row>
    <row r="975" spans="5:6" x14ac:dyDescent="0.35">
      <c r="E975" s="96" t="str">
        <f t="shared" si="26"/>
        <v xml:space="preserve"> </v>
      </c>
      <c r="F975" s="96" t="str">
        <f t="shared" si="26"/>
        <v xml:space="preserve"> </v>
      </c>
    </row>
    <row r="976" spans="5:6" x14ac:dyDescent="0.35">
      <c r="E976" s="96" t="str">
        <f t="shared" si="26"/>
        <v xml:space="preserve"> </v>
      </c>
      <c r="F976" s="96" t="str">
        <f t="shared" si="26"/>
        <v xml:space="preserve"> </v>
      </c>
    </row>
    <row r="977" spans="5:6" x14ac:dyDescent="0.35">
      <c r="E977" s="96" t="str">
        <f t="shared" si="26"/>
        <v xml:space="preserve"> </v>
      </c>
      <c r="F977" s="96" t="str">
        <f t="shared" si="26"/>
        <v xml:space="preserve"> </v>
      </c>
    </row>
    <row r="978" spans="5:6" x14ac:dyDescent="0.35">
      <c r="E978" s="96" t="str">
        <f t="shared" si="26"/>
        <v xml:space="preserve"> </v>
      </c>
      <c r="F978" s="96" t="str">
        <f t="shared" si="26"/>
        <v xml:space="preserve"> </v>
      </c>
    </row>
    <row r="979" spans="5:6" x14ac:dyDescent="0.35">
      <c r="E979" s="96" t="str">
        <f t="shared" si="26"/>
        <v xml:space="preserve"> </v>
      </c>
      <c r="F979" s="96" t="str">
        <f t="shared" si="26"/>
        <v xml:space="preserve"> </v>
      </c>
    </row>
    <row r="980" spans="5:6" x14ac:dyDescent="0.35">
      <c r="E980" s="96" t="str">
        <f t="shared" si="26"/>
        <v xml:space="preserve"> </v>
      </c>
      <c r="F980" s="96" t="str">
        <f t="shared" si="26"/>
        <v xml:space="preserve"> </v>
      </c>
    </row>
    <row r="981" spans="5:6" x14ac:dyDescent="0.35">
      <c r="E981" s="96" t="str">
        <f t="shared" si="26"/>
        <v xml:space="preserve"> </v>
      </c>
      <c r="F981" s="96" t="str">
        <f t="shared" si="26"/>
        <v xml:space="preserve"> </v>
      </c>
    </row>
    <row r="982" spans="5:6" x14ac:dyDescent="0.35">
      <c r="E982" s="96" t="str">
        <f t="shared" si="26"/>
        <v xml:space="preserve"> </v>
      </c>
      <c r="F982" s="96" t="str">
        <f t="shared" si="26"/>
        <v xml:space="preserve"> </v>
      </c>
    </row>
    <row r="983" spans="5:6" x14ac:dyDescent="0.35">
      <c r="E983" s="96" t="str">
        <f t="shared" ref="E983:F1046" si="27">IF((IFERROR(C983/C982-1," "))=-1," ",IFERROR(C983/C982-1," "))</f>
        <v xml:space="preserve"> </v>
      </c>
      <c r="F983" s="96" t="str">
        <f t="shared" si="27"/>
        <v xml:space="preserve"> </v>
      </c>
    </row>
    <row r="984" spans="5:6" x14ac:dyDescent="0.35">
      <c r="E984" s="96" t="str">
        <f t="shared" si="27"/>
        <v xml:space="preserve"> </v>
      </c>
      <c r="F984" s="96" t="str">
        <f t="shared" si="27"/>
        <v xml:space="preserve"> </v>
      </c>
    </row>
    <row r="985" spans="5:6" x14ac:dyDescent="0.35">
      <c r="E985" s="96" t="str">
        <f t="shared" si="27"/>
        <v xml:space="preserve"> </v>
      </c>
      <c r="F985" s="96" t="str">
        <f t="shared" si="27"/>
        <v xml:space="preserve"> </v>
      </c>
    </row>
    <row r="986" spans="5:6" x14ac:dyDescent="0.35">
      <c r="E986" s="96" t="str">
        <f t="shared" si="27"/>
        <v xml:space="preserve"> </v>
      </c>
      <c r="F986" s="96" t="str">
        <f t="shared" si="27"/>
        <v xml:space="preserve"> </v>
      </c>
    </row>
    <row r="987" spans="5:6" x14ac:dyDescent="0.35">
      <c r="E987" s="96" t="str">
        <f t="shared" si="27"/>
        <v xml:space="preserve"> </v>
      </c>
      <c r="F987" s="96" t="str">
        <f t="shared" si="27"/>
        <v xml:space="preserve"> </v>
      </c>
    </row>
    <row r="988" spans="5:6" x14ac:dyDescent="0.35">
      <c r="E988" s="96" t="str">
        <f t="shared" si="27"/>
        <v xml:space="preserve"> </v>
      </c>
      <c r="F988" s="96" t="str">
        <f t="shared" si="27"/>
        <v xml:space="preserve"> </v>
      </c>
    </row>
    <row r="989" spans="5:6" x14ac:dyDescent="0.35">
      <c r="E989" s="96" t="str">
        <f t="shared" si="27"/>
        <v xml:space="preserve"> </v>
      </c>
      <c r="F989" s="96" t="str">
        <f t="shared" si="27"/>
        <v xml:space="preserve"> </v>
      </c>
    </row>
    <row r="990" spans="5:6" x14ac:dyDescent="0.35">
      <c r="E990" s="96" t="str">
        <f t="shared" si="27"/>
        <v xml:space="preserve"> </v>
      </c>
      <c r="F990" s="96" t="str">
        <f t="shared" si="27"/>
        <v xml:space="preserve"> </v>
      </c>
    </row>
    <row r="991" spans="5:6" x14ac:dyDescent="0.35">
      <c r="E991" s="96" t="str">
        <f t="shared" si="27"/>
        <v xml:space="preserve"> </v>
      </c>
      <c r="F991" s="96" t="str">
        <f t="shared" si="27"/>
        <v xml:space="preserve"> </v>
      </c>
    </row>
    <row r="992" spans="5:6" x14ac:dyDescent="0.35">
      <c r="E992" s="96" t="str">
        <f t="shared" si="27"/>
        <v xml:space="preserve"> </v>
      </c>
      <c r="F992" s="96" t="str">
        <f t="shared" si="27"/>
        <v xml:space="preserve"> </v>
      </c>
    </row>
    <row r="993" spans="5:6" x14ac:dyDescent="0.35">
      <c r="E993" s="96" t="str">
        <f t="shared" si="27"/>
        <v xml:space="preserve"> </v>
      </c>
      <c r="F993" s="96" t="str">
        <f t="shared" si="27"/>
        <v xml:space="preserve"> </v>
      </c>
    </row>
    <row r="994" spans="5:6" x14ac:dyDescent="0.35">
      <c r="E994" s="96" t="str">
        <f t="shared" si="27"/>
        <v xml:space="preserve"> </v>
      </c>
      <c r="F994" s="96" t="str">
        <f t="shared" si="27"/>
        <v xml:space="preserve"> </v>
      </c>
    </row>
    <row r="995" spans="5:6" x14ac:dyDescent="0.35">
      <c r="E995" s="96" t="str">
        <f t="shared" si="27"/>
        <v xml:space="preserve"> </v>
      </c>
      <c r="F995" s="96" t="str">
        <f t="shared" si="27"/>
        <v xml:space="preserve"> </v>
      </c>
    </row>
    <row r="996" spans="5:6" x14ac:dyDescent="0.35">
      <c r="E996" s="96" t="str">
        <f t="shared" si="27"/>
        <v xml:space="preserve"> </v>
      </c>
      <c r="F996" s="96" t="str">
        <f t="shared" si="27"/>
        <v xml:space="preserve"> </v>
      </c>
    </row>
    <row r="997" spans="5:6" x14ac:dyDescent="0.35">
      <c r="E997" s="96" t="str">
        <f t="shared" si="27"/>
        <v xml:space="preserve"> </v>
      </c>
      <c r="F997" s="96" t="str">
        <f t="shared" si="27"/>
        <v xml:space="preserve"> </v>
      </c>
    </row>
    <row r="998" spans="5:6" x14ac:dyDescent="0.35">
      <c r="E998" s="96" t="str">
        <f t="shared" si="27"/>
        <v xml:space="preserve"> </v>
      </c>
      <c r="F998" s="96" t="str">
        <f t="shared" si="27"/>
        <v xml:space="preserve"> </v>
      </c>
    </row>
    <row r="999" spans="5:6" x14ac:dyDescent="0.35">
      <c r="E999" s="96" t="str">
        <f t="shared" si="27"/>
        <v xml:space="preserve"> </v>
      </c>
      <c r="F999" s="96" t="str">
        <f t="shared" si="27"/>
        <v xml:space="preserve"> </v>
      </c>
    </row>
    <row r="1000" spans="5:6" x14ac:dyDescent="0.35">
      <c r="E1000" s="96" t="str">
        <f t="shared" si="27"/>
        <v xml:space="preserve"> </v>
      </c>
      <c r="F1000" s="96" t="str">
        <f t="shared" si="27"/>
        <v xml:space="preserve"> </v>
      </c>
    </row>
    <row r="1001" spans="5:6" x14ac:dyDescent="0.35">
      <c r="E1001" s="96" t="str">
        <f t="shared" si="27"/>
        <v xml:space="preserve"> </v>
      </c>
      <c r="F1001" s="96" t="str">
        <f t="shared" si="27"/>
        <v xml:space="preserve"> </v>
      </c>
    </row>
    <row r="1002" spans="5:6" x14ac:dyDescent="0.35">
      <c r="E1002" s="96" t="str">
        <f t="shared" si="27"/>
        <v xml:space="preserve"> </v>
      </c>
      <c r="F1002" s="96" t="str">
        <f t="shared" si="27"/>
        <v xml:space="preserve"> </v>
      </c>
    </row>
    <row r="1003" spans="5:6" x14ac:dyDescent="0.35">
      <c r="E1003" s="96" t="str">
        <f t="shared" si="27"/>
        <v xml:space="preserve"> </v>
      </c>
      <c r="F1003" s="96" t="str">
        <f t="shared" si="27"/>
        <v xml:space="preserve"> </v>
      </c>
    </row>
    <row r="1004" spans="5:6" x14ac:dyDescent="0.35">
      <c r="E1004" s="96" t="str">
        <f t="shared" si="27"/>
        <v xml:space="preserve"> </v>
      </c>
      <c r="F1004" s="96" t="str">
        <f t="shared" si="27"/>
        <v xml:space="preserve"> </v>
      </c>
    </row>
    <row r="1005" spans="5:6" x14ac:dyDescent="0.35">
      <c r="E1005" s="96" t="str">
        <f t="shared" si="27"/>
        <v xml:space="preserve"> </v>
      </c>
      <c r="F1005" s="96" t="str">
        <f t="shared" si="27"/>
        <v xml:space="preserve"> </v>
      </c>
    </row>
    <row r="1006" spans="5:6" x14ac:dyDescent="0.35">
      <c r="E1006" s="96" t="str">
        <f t="shared" si="27"/>
        <v xml:space="preserve"> </v>
      </c>
      <c r="F1006" s="96" t="str">
        <f t="shared" si="27"/>
        <v xml:space="preserve"> </v>
      </c>
    </row>
    <row r="1007" spans="5:6" x14ac:dyDescent="0.35">
      <c r="E1007" s="96" t="str">
        <f t="shared" si="27"/>
        <v xml:space="preserve"> </v>
      </c>
      <c r="F1007" s="96" t="str">
        <f t="shared" si="27"/>
        <v xml:space="preserve"> </v>
      </c>
    </row>
    <row r="1008" spans="5:6" x14ac:dyDescent="0.35">
      <c r="E1008" s="96" t="str">
        <f t="shared" si="27"/>
        <v xml:space="preserve"> </v>
      </c>
      <c r="F1008" s="96" t="str">
        <f t="shared" si="27"/>
        <v xml:space="preserve"> </v>
      </c>
    </row>
    <row r="1009" spans="5:6" x14ac:dyDescent="0.35">
      <c r="E1009" s="96" t="str">
        <f t="shared" si="27"/>
        <v xml:space="preserve"> </v>
      </c>
      <c r="F1009" s="96" t="str">
        <f t="shared" si="27"/>
        <v xml:space="preserve"> </v>
      </c>
    </row>
    <row r="1010" spans="5:6" x14ac:dyDescent="0.35">
      <c r="E1010" s="96" t="str">
        <f t="shared" si="27"/>
        <v xml:space="preserve"> </v>
      </c>
      <c r="F1010" s="96" t="str">
        <f t="shared" si="27"/>
        <v xml:space="preserve"> </v>
      </c>
    </row>
    <row r="1011" spans="5:6" x14ac:dyDescent="0.35">
      <c r="E1011" s="96" t="str">
        <f t="shared" si="27"/>
        <v xml:space="preserve"> </v>
      </c>
      <c r="F1011" s="96" t="str">
        <f t="shared" si="27"/>
        <v xml:space="preserve"> </v>
      </c>
    </row>
    <row r="1012" spans="5:6" hidden="1" x14ac:dyDescent="0.35">
      <c r="E1012" s="96" t="str">
        <f t="shared" si="27"/>
        <v xml:space="preserve"> </v>
      </c>
      <c r="F1012" s="96" t="str">
        <f t="shared" si="27"/>
        <v xml:space="preserve"> </v>
      </c>
    </row>
    <row r="1013" spans="5:6" hidden="1" x14ac:dyDescent="0.35">
      <c r="E1013" s="96" t="str">
        <f t="shared" si="27"/>
        <v xml:space="preserve"> </v>
      </c>
      <c r="F1013" s="96" t="str">
        <f t="shared" si="27"/>
        <v xml:space="preserve"> </v>
      </c>
    </row>
    <row r="1014" spans="5:6" hidden="1" x14ac:dyDescent="0.35">
      <c r="E1014" s="96" t="str">
        <f t="shared" si="27"/>
        <v xml:space="preserve"> </v>
      </c>
      <c r="F1014" s="96" t="str">
        <f t="shared" si="27"/>
        <v xml:space="preserve"> </v>
      </c>
    </row>
    <row r="1015" spans="5:6" hidden="1" x14ac:dyDescent="0.35">
      <c r="E1015" s="96" t="str">
        <f t="shared" si="27"/>
        <v xml:space="preserve"> </v>
      </c>
      <c r="F1015" s="96" t="str">
        <f t="shared" si="27"/>
        <v xml:space="preserve"> </v>
      </c>
    </row>
    <row r="1016" spans="5:6" hidden="1" x14ac:dyDescent="0.35">
      <c r="E1016" s="96" t="str">
        <f t="shared" si="27"/>
        <v xml:space="preserve"> </v>
      </c>
      <c r="F1016" s="96" t="str">
        <f t="shared" si="27"/>
        <v xml:space="preserve"> </v>
      </c>
    </row>
    <row r="1017" spans="5:6" hidden="1" x14ac:dyDescent="0.35">
      <c r="E1017" s="96" t="str">
        <f t="shared" si="27"/>
        <v xml:space="preserve"> </v>
      </c>
      <c r="F1017" s="96" t="str">
        <f t="shared" si="27"/>
        <v xml:space="preserve"> </v>
      </c>
    </row>
    <row r="1018" spans="5:6" hidden="1" x14ac:dyDescent="0.35">
      <c r="E1018" s="96" t="str">
        <f t="shared" si="27"/>
        <v xml:space="preserve"> </v>
      </c>
      <c r="F1018" s="96" t="str">
        <f t="shared" si="27"/>
        <v xml:space="preserve"> </v>
      </c>
    </row>
    <row r="1019" spans="5:6" hidden="1" x14ac:dyDescent="0.35">
      <c r="E1019" s="96" t="str">
        <f t="shared" si="27"/>
        <v xml:space="preserve"> </v>
      </c>
      <c r="F1019" s="96" t="str">
        <f t="shared" si="27"/>
        <v xml:space="preserve"> </v>
      </c>
    </row>
    <row r="1020" spans="5:6" hidden="1" x14ac:dyDescent="0.35">
      <c r="E1020" s="96" t="str">
        <f t="shared" si="27"/>
        <v xml:space="preserve"> </v>
      </c>
      <c r="F1020" s="96" t="str">
        <f t="shared" si="27"/>
        <v xml:space="preserve"> </v>
      </c>
    </row>
    <row r="1021" spans="5:6" hidden="1" x14ac:dyDescent="0.35">
      <c r="E1021" s="96" t="str">
        <f t="shared" si="27"/>
        <v xml:space="preserve"> </v>
      </c>
      <c r="F1021" s="96" t="str">
        <f t="shared" si="27"/>
        <v xml:space="preserve"> </v>
      </c>
    </row>
    <row r="1022" spans="5:6" hidden="1" x14ac:dyDescent="0.35">
      <c r="E1022" s="96" t="str">
        <f t="shared" si="27"/>
        <v xml:space="preserve"> </v>
      </c>
      <c r="F1022" s="96" t="str">
        <f t="shared" si="27"/>
        <v xml:space="preserve"> </v>
      </c>
    </row>
    <row r="1023" spans="5:6" hidden="1" x14ac:dyDescent="0.35">
      <c r="E1023" s="96" t="str">
        <f t="shared" si="27"/>
        <v xml:space="preserve"> </v>
      </c>
      <c r="F1023" s="96" t="str">
        <f t="shared" si="27"/>
        <v xml:space="preserve"> </v>
      </c>
    </row>
    <row r="1024" spans="5:6" hidden="1" x14ac:dyDescent="0.35">
      <c r="E1024" s="96" t="str">
        <f t="shared" si="27"/>
        <v xml:space="preserve"> </v>
      </c>
      <c r="F1024" s="96" t="str">
        <f t="shared" si="27"/>
        <v xml:space="preserve"> </v>
      </c>
    </row>
    <row r="1025" spans="5:6" hidden="1" x14ac:dyDescent="0.35">
      <c r="E1025" s="96" t="str">
        <f t="shared" si="27"/>
        <v xml:space="preserve"> </v>
      </c>
      <c r="F1025" s="96" t="str">
        <f t="shared" si="27"/>
        <v xml:space="preserve"> </v>
      </c>
    </row>
    <row r="1026" spans="5:6" hidden="1" x14ac:dyDescent="0.35">
      <c r="E1026" s="96" t="str">
        <f t="shared" si="27"/>
        <v xml:space="preserve"> </v>
      </c>
      <c r="F1026" s="96" t="str">
        <f t="shared" si="27"/>
        <v xml:space="preserve"> </v>
      </c>
    </row>
    <row r="1027" spans="5:6" hidden="1" x14ac:dyDescent="0.35">
      <c r="E1027" s="96" t="str">
        <f t="shared" si="27"/>
        <v xml:space="preserve"> </v>
      </c>
      <c r="F1027" s="96" t="str">
        <f t="shared" si="27"/>
        <v xml:space="preserve"> </v>
      </c>
    </row>
    <row r="1028" spans="5:6" hidden="1" x14ac:dyDescent="0.35">
      <c r="E1028" s="96" t="str">
        <f t="shared" si="27"/>
        <v xml:space="preserve"> </v>
      </c>
      <c r="F1028" s="96" t="str">
        <f t="shared" si="27"/>
        <v xml:space="preserve"> </v>
      </c>
    </row>
    <row r="1029" spans="5:6" hidden="1" x14ac:dyDescent="0.35">
      <c r="E1029" s="96" t="str">
        <f t="shared" si="27"/>
        <v xml:space="preserve"> </v>
      </c>
      <c r="F1029" s="96" t="str">
        <f t="shared" si="27"/>
        <v xml:space="preserve"> </v>
      </c>
    </row>
    <row r="1030" spans="5:6" hidden="1" x14ac:dyDescent="0.35">
      <c r="E1030" s="96" t="str">
        <f t="shared" si="27"/>
        <v xml:space="preserve"> </v>
      </c>
      <c r="F1030" s="96" t="str">
        <f t="shared" si="27"/>
        <v xml:space="preserve"> </v>
      </c>
    </row>
    <row r="1031" spans="5:6" hidden="1" x14ac:dyDescent="0.35">
      <c r="E1031" s="96" t="str">
        <f t="shared" si="27"/>
        <v xml:space="preserve"> </v>
      </c>
      <c r="F1031" s="96" t="str">
        <f t="shared" si="27"/>
        <v xml:space="preserve"> </v>
      </c>
    </row>
    <row r="1032" spans="5:6" hidden="1" x14ac:dyDescent="0.35">
      <c r="E1032" s="96" t="str">
        <f t="shared" si="27"/>
        <v xml:space="preserve"> </v>
      </c>
      <c r="F1032" s="96" t="str">
        <f t="shared" si="27"/>
        <v xml:space="preserve"> </v>
      </c>
    </row>
    <row r="1033" spans="5:6" hidden="1" x14ac:dyDescent="0.35">
      <c r="E1033" s="96" t="str">
        <f t="shared" si="27"/>
        <v xml:space="preserve"> </v>
      </c>
      <c r="F1033" s="96" t="str">
        <f t="shared" si="27"/>
        <v xml:space="preserve"> </v>
      </c>
    </row>
    <row r="1034" spans="5:6" hidden="1" x14ac:dyDescent="0.35">
      <c r="E1034" s="96" t="str">
        <f t="shared" si="27"/>
        <v xml:space="preserve"> </v>
      </c>
      <c r="F1034" s="96" t="str">
        <f t="shared" si="27"/>
        <v xml:space="preserve"> </v>
      </c>
    </row>
    <row r="1035" spans="5:6" hidden="1" x14ac:dyDescent="0.35">
      <c r="E1035" s="96" t="str">
        <f t="shared" si="27"/>
        <v xml:space="preserve"> </v>
      </c>
      <c r="F1035" s="96" t="str">
        <f t="shared" si="27"/>
        <v xml:space="preserve"> </v>
      </c>
    </row>
    <row r="1036" spans="5:6" hidden="1" x14ac:dyDescent="0.35">
      <c r="E1036" s="96" t="str">
        <f t="shared" si="27"/>
        <v xml:space="preserve"> </v>
      </c>
      <c r="F1036" s="96" t="str">
        <f t="shared" si="27"/>
        <v xml:space="preserve"> </v>
      </c>
    </row>
    <row r="1037" spans="5:6" hidden="1" x14ac:dyDescent="0.35">
      <c r="E1037" s="96" t="str">
        <f t="shared" si="27"/>
        <v xml:space="preserve"> </v>
      </c>
      <c r="F1037" s="96" t="str">
        <f t="shared" si="27"/>
        <v xml:space="preserve"> </v>
      </c>
    </row>
    <row r="1038" spans="5:6" hidden="1" x14ac:dyDescent="0.35">
      <c r="E1038" s="96" t="str">
        <f t="shared" si="27"/>
        <v xml:space="preserve"> </v>
      </c>
      <c r="F1038" s="96" t="str">
        <f t="shared" si="27"/>
        <v xml:space="preserve"> </v>
      </c>
    </row>
    <row r="1039" spans="5:6" hidden="1" x14ac:dyDescent="0.35">
      <c r="E1039" s="96" t="str">
        <f t="shared" si="27"/>
        <v xml:space="preserve"> </v>
      </c>
      <c r="F1039" s="96" t="str">
        <f t="shared" si="27"/>
        <v xml:space="preserve"> </v>
      </c>
    </row>
    <row r="1040" spans="5:6" hidden="1" x14ac:dyDescent="0.35">
      <c r="E1040" s="96" t="str">
        <f t="shared" si="27"/>
        <v xml:space="preserve"> </v>
      </c>
      <c r="F1040" s="96" t="str">
        <f t="shared" si="27"/>
        <v xml:space="preserve"> </v>
      </c>
    </row>
    <row r="1041" spans="5:6" hidden="1" x14ac:dyDescent="0.35">
      <c r="E1041" s="96" t="str">
        <f t="shared" si="27"/>
        <v xml:space="preserve"> </v>
      </c>
      <c r="F1041" s="96" t="str">
        <f t="shared" si="27"/>
        <v xml:space="preserve"> </v>
      </c>
    </row>
    <row r="1042" spans="5:6" hidden="1" x14ac:dyDescent="0.35">
      <c r="E1042" s="96" t="str">
        <f t="shared" si="27"/>
        <v xml:space="preserve"> </v>
      </c>
      <c r="F1042" s="96" t="str">
        <f t="shared" si="27"/>
        <v xml:space="preserve"> </v>
      </c>
    </row>
    <row r="1043" spans="5:6" hidden="1" x14ac:dyDescent="0.35">
      <c r="E1043" s="96" t="str">
        <f t="shared" si="27"/>
        <v xml:space="preserve"> </v>
      </c>
      <c r="F1043" s="96" t="str">
        <f t="shared" si="27"/>
        <v xml:space="preserve"> </v>
      </c>
    </row>
    <row r="1044" spans="5:6" hidden="1" x14ac:dyDescent="0.35">
      <c r="E1044" s="96" t="str">
        <f t="shared" si="27"/>
        <v xml:space="preserve"> </v>
      </c>
      <c r="F1044" s="96" t="str">
        <f t="shared" si="27"/>
        <v xml:space="preserve"> </v>
      </c>
    </row>
    <row r="1045" spans="5:6" hidden="1" x14ac:dyDescent="0.35">
      <c r="E1045" s="96" t="str">
        <f t="shared" si="27"/>
        <v xml:space="preserve"> </v>
      </c>
      <c r="F1045" s="96" t="str">
        <f t="shared" si="27"/>
        <v xml:space="preserve"> </v>
      </c>
    </row>
    <row r="1046" spans="5:6" hidden="1" x14ac:dyDescent="0.35">
      <c r="E1046" s="96" t="str">
        <f t="shared" si="27"/>
        <v xml:space="preserve"> </v>
      </c>
      <c r="F1046" s="96" t="str">
        <f t="shared" si="27"/>
        <v xml:space="preserve"> </v>
      </c>
    </row>
    <row r="1047" spans="5:6" hidden="1" x14ac:dyDescent="0.35">
      <c r="E1047" s="96" t="str">
        <f t="shared" ref="E1047:F1110" si="28">IF((IFERROR(C1047/C1046-1," "))=-1," ",IFERROR(C1047/C1046-1," "))</f>
        <v xml:space="preserve"> </v>
      </c>
      <c r="F1047" s="96" t="str">
        <f t="shared" si="28"/>
        <v xml:space="preserve"> </v>
      </c>
    </row>
    <row r="1048" spans="5:6" hidden="1" x14ac:dyDescent="0.35">
      <c r="E1048" s="96" t="str">
        <f t="shared" si="28"/>
        <v xml:space="preserve"> </v>
      </c>
      <c r="F1048" s="96" t="str">
        <f t="shared" si="28"/>
        <v xml:space="preserve"> </v>
      </c>
    </row>
    <row r="1049" spans="5:6" hidden="1" x14ac:dyDescent="0.35">
      <c r="E1049" s="96" t="str">
        <f t="shared" si="28"/>
        <v xml:space="preserve"> </v>
      </c>
      <c r="F1049" s="96" t="str">
        <f t="shared" si="28"/>
        <v xml:space="preserve"> </v>
      </c>
    </row>
    <row r="1050" spans="5:6" hidden="1" x14ac:dyDescent="0.35">
      <c r="E1050" s="96" t="str">
        <f t="shared" si="28"/>
        <v xml:space="preserve"> </v>
      </c>
      <c r="F1050" s="96" t="str">
        <f t="shared" si="28"/>
        <v xml:space="preserve"> </v>
      </c>
    </row>
    <row r="1051" spans="5:6" hidden="1" x14ac:dyDescent="0.35">
      <c r="E1051" s="96" t="str">
        <f t="shared" si="28"/>
        <v xml:space="preserve"> </v>
      </c>
      <c r="F1051" s="96" t="str">
        <f t="shared" si="28"/>
        <v xml:space="preserve"> </v>
      </c>
    </row>
    <row r="1052" spans="5:6" hidden="1" x14ac:dyDescent="0.35">
      <c r="E1052" s="96" t="str">
        <f t="shared" si="28"/>
        <v xml:space="preserve"> </v>
      </c>
      <c r="F1052" s="96" t="str">
        <f t="shared" si="28"/>
        <v xml:space="preserve"> </v>
      </c>
    </row>
    <row r="1053" spans="5:6" hidden="1" x14ac:dyDescent="0.35">
      <c r="E1053" s="96" t="str">
        <f t="shared" si="28"/>
        <v xml:space="preserve"> </v>
      </c>
      <c r="F1053" s="96" t="str">
        <f t="shared" si="28"/>
        <v xml:space="preserve"> </v>
      </c>
    </row>
    <row r="1054" spans="5:6" hidden="1" x14ac:dyDescent="0.35">
      <c r="E1054" s="96" t="str">
        <f t="shared" si="28"/>
        <v xml:space="preserve"> </v>
      </c>
      <c r="F1054" s="96" t="str">
        <f t="shared" si="28"/>
        <v xml:space="preserve"> </v>
      </c>
    </row>
    <row r="1055" spans="5:6" hidden="1" x14ac:dyDescent="0.35">
      <c r="E1055" s="96" t="str">
        <f t="shared" si="28"/>
        <v xml:space="preserve"> </v>
      </c>
      <c r="F1055" s="96" t="str">
        <f t="shared" si="28"/>
        <v xml:space="preserve"> </v>
      </c>
    </row>
    <row r="1056" spans="5:6" hidden="1" x14ac:dyDescent="0.35">
      <c r="E1056" s="96" t="str">
        <f t="shared" si="28"/>
        <v xml:space="preserve"> </v>
      </c>
      <c r="F1056" s="96" t="str">
        <f t="shared" si="28"/>
        <v xml:space="preserve"> </v>
      </c>
    </row>
    <row r="1057" spans="5:6" hidden="1" x14ac:dyDescent="0.35">
      <c r="E1057" s="96" t="str">
        <f t="shared" si="28"/>
        <v xml:space="preserve"> </v>
      </c>
      <c r="F1057" s="96" t="str">
        <f t="shared" si="28"/>
        <v xml:space="preserve"> </v>
      </c>
    </row>
    <row r="1058" spans="5:6" hidden="1" x14ac:dyDescent="0.35">
      <c r="E1058" s="96" t="str">
        <f t="shared" si="28"/>
        <v xml:space="preserve"> </v>
      </c>
      <c r="F1058" s="96" t="str">
        <f t="shared" si="28"/>
        <v xml:space="preserve"> </v>
      </c>
    </row>
    <row r="1059" spans="5:6" hidden="1" x14ac:dyDescent="0.35">
      <c r="E1059" s="96" t="str">
        <f t="shared" si="28"/>
        <v xml:space="preserve"> </v>
      </c>
      <c r="F1059" s="96" t="str">
        <f t="shared" si="28"/>
        <v xml:space="preserve"> </v>
      </c>
    </row>
    <row r="1060" spans="5:6" hidden="1" x14ac:dyDescent="0.35">
      <c r="E1060" s="96" t="str">
        <f t="shared" si="28"/>
        <v xml:space="preserve"> </v>
      </c>
      <c r="F1060" s="96" t="str">
        <f t="shared" si="28"/>
        <v xml:space="preserve"> </v>
      </c>
    </row>
    <row r="1061" spans="5:6" hidden="1" x14ac:dyDescent="0.35">
      <c r="E1061" s="96" t="str">
        <f t="shared" si="28"/>
        <v xml:space="preserve"> </v>
      </c>
      <c r="F1061" s="96" t="str">
        <f t="shared" si="28"/>
        <v xml:space="preserve"> </v>
      </c>
    </row>
    <row r="1062" spans="5:6" hidden="1" x14ac:dyDescent="0.35">
      <c r="E1062" s="96" t="str">
        <f t="shared" si="28"/>
        <v xml:space="preserve"> </v>
      </c>
      <c r="F1062" s="96" t="str">
        <f t="shared" si="28"/>
        <v xml:space="preserve"> </v>
      </c>
    </row>
    <row r="1063" spans="5:6" hidden="1" x14ac:dyDescent="0.35">
      <c r="E1063" s="96" t="str">
        <f t="shared" si="28"/>
        <v xml:space="preserve"> </v>
      </c>
      <c r="F1063" s="96" t="str">
        <f t="shared" si="28"/>
        <v xml:space="preserve"> </v>
      </c>
    </row>
    <row r="1064" spans="5:6" hidden="1" x14ac:dyDescent="0.35">
      <c r="E1064" s="96" t="str">
        <f t="shared" si="28"/>
        <v xml:space="preserve"> </v>
      </c>
      <c r="F1064" s="96" t="str">
        <f t="shared" si="28"/>
        <v xml:space="preserve"> </v>
      </c>
    </row>
    <row r="1065" spans="5:6" hidden="1" x14ac:dyDescent="0.35">
      <c r="E1065" s="96" t="str">
        <f t="shared" si="28"/>
        <v xml:space="preserve"> </v>
      </c>
      <c r="F1065" s="96" t="str">
        <f t="shared" si="28"/>
        <v xml:space="preserve"> </v>
      </c>
    </row>
    <row r="1066" spans="5:6" hidden="1" x14ac:dyDescent="0.35">
      <c r="E1066" s="96" t="str">
        <f t="shared" si="28"/>
        <v xml:space="preserve"> </v>
      </c>
      <c r="F1066" s="96" t="str">
        <f t="shared" si="28"/>
        <v xml:space="preserve"> </v>
      </c>
    </row>
    <row r="1067" spans="5:6" hidden="1" x14ac:dyDescent="0.35">
      <c r="E1067" s="96" t="str">
        <f t="shared" si="28"/>
        <v xml:space="preserve"> </v>
      </c>
      <c r="F1067" s="96" t="str">
        <f t="shared" si="28"/>
        <v xml:space="preserve"> </v>
      </c>
    </row>
    <row r="1068" spans="5:6" hidden="1" x14ac:dyDescent="0.35">
      <c r="E1068" s="96" t="str">
        <f t="shared" si="28"/>
        <v xml:space="preserve"> </v>
      </c>
      <c r="F1068" s="96" t="str">
        <f t="shared" si="28"/>
        <v xml:space="preserve"> </v>
      </c>
    </row>
    <row r="1069" spans="5:6" hidden="1" x14ac:dyDescent="0.35">
      <c r="E1069" s="96" t="str">
        <f t="shared" si="28"/>
        <v xml:space="preserve"> </v>
      </c>
      <c r="F1069" s="96" t="str">
        <f t="shared" si="28"/>
        <v xml:space="preserve"> </v>
      </c>
    </row>
    <row r="1070" spans="5:6" hidden="1" x14ac:dyDescent="0.35">
      <c r="E1070" s="96" t="str">
        <f t="shared" si="28"/>
        <v xml:space="preserve"> </v>
      </c>
      <c r="F1070" s="96" t="str">
        <f t="shared" si="28"/>
        <v xml:space="preserve"> </v>
      </c>
    </row>
    <row r="1071" spans="5:6" hidden="1" x14ac:dyDescent="0.35">
      <c r="E1071" s="96" t="str">
        <f t="shared" si="28"/>
        <v xml:space="preserve"> </v>
      </c>
      <c r="F1071" s="96" t="str">
        <f t="shared" si="28"/>
        <v xml:space="preserve"> </v>
      </c>
    </row>
    <row r="1072" spans="5:6" hidden="1" x14ac:dyDescent="0.35">
      <c r="E1072" s="96" t="str">
        <f t="shared" si="28"/>
        <v xml:space="preserve"> </v>
      </c>
      <c r="F1072" s="96" t="str">
        <f t="shared" si="28"/>
        <v xml:space="preserve"> </v>
      </c>
    </row>
    <row r="1073" spans="5:6" hidden="1" x14ac:dyDescent="0.35">
      <c r="E1073" s="96" t="str">
        <f t="shared" si="28"/>
        <v xml:space="preserve"> </v>
      </c>
      <c r="F1073" s="96" t="str">
        <f t="shared" si="28"/>
        <v xml:space="preserve"> </v>
      </c>
    </row>
    <row r="1074" spans="5:6" hidden="1" x14ac:dyDescent="0.35">
      <c r="E1074" s="96" t="str">
        <f t="shared" si="28"/>
        <v xml:space="preserve"> </v>
      </c>
      <c r="F1074" s="96" t="str">
        <f t="shared" si="28"/>
        <v xml:space="preserve"> </v>
      </c>
    </row>
    <row r="1075" spans="5:6" hidden="1" x14ac:dyDescent="0.35">
      <c r="E1075" s="96" t="str">
        <f t="shared" si="28"/>
        <v xml:space="preserve"> </v>
      </c>
      <c r="F1075" s="96" t="str">
        <f t="shared" si="28"/>
        <v xml:space="preserve"> </v>
      </c>
    </row>
    <row r="1076" spans="5:6" hidden="1" x14ac:dyDescent="0.35">
      <c r="E1076" s="96" t="str">
        <f t="shared" si="28"/>
        <v xml:space="preserve"> </v>
      </c>
      <c r="F1076" s="96" t="str">
        <f t="shared" si="28"/>
        <v xml:space="preserve"> </v>
      </c>
    </row>
    <row r="1077" spans="5:6" hidden="1" x14ac:dyDescent="0.35">
      <c r="E1077" s="96" t="str">
        <f t="shared" si="28"/>
        <v xml:space="preserve"> </v>
      </c>
      <c r="F1077" s="96" t="str">
        <f t="shared" si="28"/>
        <v xml:space="preserve"> </v>
      </c>
    </row>
    <row r="1078" spans="5:6" hidden="1" x14ac:dyDescent="0.35">
      <c r="E1078" s="96" t="str">
        <f t="shared" si="28"/>
        <v xml:space="preserve"> </v>
      </c>
      <c r="F1078" s="96" t="str">
        <f t="shared" si="28"/>
        <v xml:space="preserve"> </v>
      </c>
    </row>
    <row r="1079" spans="5:6" hidden="1" x14ac:dyDescent="0.35">
      <c r="E1079" s="96" t="str">
        <f t="shared" si="28"/>
        <v xml:space="preserve"> </v>
      </c>
      <c r="F1079" s="96" t="str">
        <f t="shared" si="28"/>
        <v xml:space="preserve"> </v>
      </c>
    </row>
    <row r="1080" spans="5:6" hidden="1" x14ac:dyDescent="0.35">
      <c r="E1080" s="96" t="str">
        <f t="shared" si="28"/>
        <v xml:space="preserve"> </v>
      </c>
      <c r="F1080" s="96" t="str">
        <f t="shared" si="28"/>
        <v xml:space="preserve"> </v>
      </c>
    </row>
    <row r="1081" spans="5:6" hidden="1" x14ac:dyDescent="0.35">
      <c r="E1081" s="96" t="str">
        <f t="shared" si="28"/>
        <v xml:space="preserve"> </v>
      </c>
      <c r="F1081" s="96" t="str">
        <f t="shared" si="28"/>
        <v xml:space="preserve"> </v>
      </c>
    </row>
    <row r="1082" spans="5:6" hidden="1" x14ac:dyDescent="0.35">
      <c r="E1082" s="96" t="str">
        <f t="shared" si="28"/>
        <v xml:space="preserve"> </v>
      </c>
      <c r="F1082" s="96" t="str">
        <f t="shared" si="28"/>
        <v xml:space="preserve"> </v>
      </c>
    </row>
    <row r="1083" spans="5:6" hidden="1" x14ac:dyDescent="0.35">
      <c r="E1083" s="96" t="str">
        <f t="shared" si="28"/>
        <v xml:space="preserve"> </v>
      </c>
      <c r="F1083" s="96" t="str">
        <f t="shared" si="28"/>
        <v xml:space="preserve"> </v>
      </c>
    </row>
    <row r="1084" spans="5:6" hidden="1" x14ac:dyDescent="0.35">
      <c r="E1084" s="96" t="str">
        <f t="shared" si="28"/>
        <v xml:space="preserve"> </v>
      </c>
      <c r="F1084" s="96" t="str">
        <f t="shared" si="28"/>
        <v xml:space="preserve"> </v>
      </c>
    </row>
    <row r="1085" spans="5:6" hidden="1" x14ac:dyDescent="0.35">
      <c r="E1085" s="96" t="str">
        <f t="shared" si="28"/>
        <v xml:space="preserve"> </v>
      </c>
      <c r="F1085" s="96" t="str">
        <f t="shared" si="28"/>
        <v xml:space="preserve"> </v>
      </c>
    </row>
    <row r="1086" spans="5:6" hidden="1" x14ac:dyDescent="0.35">
      <c r="E1086" s="96" t="str">
        <f t="shared" si="28"/>
        <v xml:space="preserve"> </v>
      </c>
      <c r="F1086" s="96" t="str">
        <f t="shared" si="28"/>
        <v xml:space="preserve"> </v>
      </c>
    </row>
    <row r="1087" spans="5:6" hidden="1" x14ac:dyDescent="0.35">
      <c r="E1087" s="96" t="str">
        <f t="shared" si="28"/>
        <v xml:space="preserve"> </v>
      </c>
      <c r="F1087" s="96" t="str">
        <f t="shared" si="28"/>
        <v xml:space="preserve"> </v>
      </c>
    </row>
    <row r="1088" spans="5:6" hidden="1" x14ac:dyDescent="0.35">
      <c r="E1088" s="96" t="str">
        <f t="shared" si="28"/>
        <v xml:space="preserve"> </v>
      </c>
      <c r="F1088" s="96" t="str">
        <f t="shared" si="28"/>
        <v xml:space="preserve"> </v>
      </c>
    </row>
    <row r="1089" spans="5:6" hidden="1" x14ac:dyDescent="0.35">
      <c r="E1089" s="96" t="str">
        <f t="shared" si="28"/>
        <v xml:space="preserve"> </v>
      </c>
      <c r="F1089" s="96" t="str">
        <f t="shared" si="28"/>
        <v xml:space="preserve"> </v>
      </c>
    </row>
    <row r="1090" spans="5:6" hidden="1" x14ac:dyDescent="0.35">
      <c r="E1090" s="96" t="str">
        <f t="shared" si="28"/>
        <v xml:space="preserve"> </v>
      </c>
      <c r="F1090" s="96" t="str">
        <f t="shared" si="28"/>
        <v xml:space="preserve"> </v>
      </c>
    </row>
    <row r="1091" spans="5:6" hidden="1" x14ac:dyDescent="0.35">
      <c r="E1091" s="96" t="str">
        <f t="shared" si="28"/>
        <v xml:space="preserve"> </v>
      </c>
      <c r="F1091" s="96" t="str">
        <f t="shared" si="28"/>
        <v xml:space="preserve"> </v>
      </c>
    </row>
    <row r="1092" spans="5:6" hidden="1" x14ac:dyDescent="0.35">
      <c r="E1092" s="96" t="str">
        <f t="shared" si="28"/>
        <v xml:space="preserve"> </v>
      </c>
      <c r="F1092" s="96" t="str">
        <f t="shared" si="28"/>
        <v xml:space="preserve"> </v>
      </c>
    </row>
    <row r="1093" spans="5:6" hidden="1" x14ac:dyDescent="0.35">
      <c r="E1093" s="96" t="str">
        <f t="shared" si="28"/>
        <v xml:space="preserve"> </v>
      </c>
      <c r="F1093" s="96" t="str">
        <f t="shared" si="28"/>
        <v xml:space="preserve"> </v>
      </c>
    </row>
    <row r="1094" spans="5:6" hidden="1" x14ac:dyDescent="0.35">
      <c r="E1094" s="96" t="str">
        <f t="shared" si="28"/>
        <v xml:space="preserve"> </v>
      </c>
      <c r="F1094" s="96" t="str">
        <f t="shared" si="28"/>
        <v xml:space="preserve"> </v>
      </c>
    </row>
    <row r="1095" spans="5:6" hidden="1" x14ac:dyDescent="0.35">
      <c r="E1095" s="96" t="str">
        <f t="shared" si="28"/>
        <v xml:space="preserve"> </v>
      </c>
      <c r="F1095" s="96" t="str">
        <f t="shared" si="28"/>
        <v xml:space="preserve"> </v>
      </c>
    </row>
    <row r="1096" spans="5:6" hidden="1" x14ac:dyDescent="0.35">
      <c r="E1096" s="96" t="str">
        <f t="shared" si="28"/>
        <v xml:space="preserve"> </v>
      </c>
      <c r="F1096" s="96" t="str">
        <f t="shared" si="28"/>
        <v xml:space="preserve"> </v>
      </c>
    </row>
    <row r="1097" spans="5:6" hidden="1" x14ac:dyDescent="0.35">
      <c r="E1097" s="96" t="str">
        <f t="shared" si="28"/>
        <v xml:space="preserve"> </v>
      </c>
      <c r="F1097" s="96" t="str">
        <f t="shared" si="28"/>
        <v xml:space="preserve"> </v>
      </c>
    </row>
    <row r="1098" spans="5:6" hidden="1" x14ac:dyDescent="0.35">
      <c r="E1098" s="96" t="str">
        <f t="shared" si="28"/>
        <v xml:space="preserve"> </v>
      </c>
      <c r="F1098" s="96" t="str">
        <f t="shared" si="28"/>
        <v xml:space="preserve"> </v>
      </c>
    </row>
    <row r="1099" spans="5:6" hidden="1" x14ac:dyDescent="0.35">
      <c r="E1099" s="96" t="str">
        <f t="shared" si="28"/>
        <v xml:space="preserve"> </v>
      </c>
      <c r="F1099" s="96" t="str">
        <f t="shared" si="28"/>
        <v xml:space="preserve"> </v>
      </c>
    </row>
    <row r="1100" spans="5:6" hidden="1" x14ac:dyDescent="0.35">
      <c r="E1100" s="96" t="str">
        <f t="shared" si="28"/>
        <v xml:space="preserve"> </v>
      </c>
      <c r="F1100" s="96" t="str">
        <f t="shared" si="28"/>
        <v xml:space="preserve"> </v>
      </c>
    </row>
    <row r="1101" spans="5:6" hidden="1" x14ac:dyDescent="0.35">
      <c r="E1101" s="96" t="str">
        <f t="shared" si="28"/>
        <v xml:space="preserve"> </v>
      </c>
      <c r="F1101" s="96" t="str">
        <f t="shared" si="28"/>
        <v xml:space="preserve"> </v>
      </c>
    </row>
    <row r="1102" spans="5:6" hidden="1" x14ac:dyDescent="0.35">
      <c r="E1102" s="96" t="str">
        <f t="shared" si="28"/>
        <v xml:space="preserve"> </v>
      </c>
      <c r="F1102" s="96" t="str">
        <f t="shared" si="28"/>
        <v xml:space="preserve"> </v>
      </c>
    </row>
    <row r="1103" spans="5:6" hidden="1" x14ac:dyDescent="0.35">
      <c r="E1103" s="96" t="str">
        <f t="shared" si="28"/>
        <v xml:space="preserve"> </v>
      </c>
      <c r="F1103" s="96" t="str">
        <f t="shared" si="28"/>
        <v xml:space="preserve"> </v>
      </c>
    </row>
    <row r="1104" spans="5:6" hidden="1" x14ac:dyDescent="0.35">
      <c r="E1104" s="96" t="str">
        <f t="shared" si="28"/>
        <v xml:space="preserve"> </v>
      </c>
      <c r="F1104" s="96" t="str">
        <f t="shared" si="28"/>
        <v xml:space="preserve"> </v>
      </c>
    </row>
    <row r="1105" spans="5:6" hidden="1" x14ac:dyDescent="0.35">
      <c r="E1105" s="96" t="str">
        <f t="shared" si="28"/>
        <v xml:space="preserve"> </v>
      </c>
      <c r="F1105" s="96" t="str">
        <f t="shared" si="28"/>
        <v xml:space="preserve"> </v>
      </c>
    </row>
    <row r="1106" spans="5:6" hidden="1" x14ac:dyDescent="0.35">
      <c r="E1106" s="96" t="str">
        <f t="shared" si="28"/>
        <v xml:space="preserve"> </v>
      </c>
      <c r="F1106" s="96" t="str">
        <f t="shared" si="28"/>
        <v xml:space="preserve"> </v>
      </c>
    </row>
    <row r="1107" spans="5:6" hidden="1" x14ac:dyDescent="0.35">
      <c r="E1107" s="96" t="str">
        <f t="shared" si="28"/>
        <v xml:space="preserve"> </v>
      </c>
      <c r="F1107" s="96" t="str">
        <f t="shared" si="28"/>
        <v xml:space="preserve"> </v>
      </c>
    </row>
    <row r="1108" spans="5:6" hidden="1" x14ac:dyDescent="0.35">
      <c r="E1108" s="96" t="str">
        <f t="shared" si="28"/>
        <v xml:space="preserve"> </v>
      </c>
      <c r="F1108" s="96" t="str">
        <f t="shared" si="28"/>
        <v xml:space="preserve"> </v>
      </c>
    </row>
    <row r="1109" spans="5:6" hidden="1" x14ac:dyDescent="0.35">
      <c r="E1109" s="96" t="str">
        <f t="shared" si="28"/>
        <v xml:space="preserve"> </v>
      </c>
      <c r="F1109" s="96" t="str">
        <f t="shared" si="28"/>
        <v xml:space="preserve"> </v>
      </c>
    </row>
    <row r="1110" spans="5:6" hidden="1" x14ac:dyDescent="0.35">
      <c r="E1110" s="96" t="str">
        <f t="shared" si="28"/>
        <v xml:space="preserve"> </v>
      </c>
      <c r="F1110" s="96" t="str">
        <f t="shared" si="28"/>
        <v xml:space="preserve"> </v>
      </c>
    </row>
    <row r="1111" spans="5:6" hidden="1" x14ac:dyDescent="0.35">
      <c r="E1111" s="96" t="str">
        <f t="shared" ref="E1111:F1174" si="29">IF((IFERROR(C1111/C1110-1," "))=-1," ",IFERROR(C1111/C1110-1," "))</f>
        <v xml:space="preserve"> </v>
      </c>
      <c r="F1111" s="96" t="str">
        <f t="shared" si="29"/>
        <v xml:space="preserve"> </v>
      </c>
    </row>
    <row r="1112" spans="5:6" hidden="1" x14ac:dyDescent="0.35">
      <c r="E1112" s="96" t="str">
        <f t="shared" si="29"/>
        <v xml:space="preserve"> </v>
      </c>
      <c r="F1112" s="96" t="str">
        <f t="shared" si="29"/>
        <v xml:space="preserve"> </v>
      </c>
    </row>
    <row r="1113" spans="5:6" hidden="1" x14ac:dyDescent="0.35">
      <c r="E1113" s="96" t="str">
        <f t="shared" si="29"/>
        <v xml:space="preserve"> </v>
      </c>
      <c r="F1113" s="96" t="str">
        <f t="shared" si="29"/>
        <v xml:space="preserve"> </v>
      </c>
    </row>
    <row r="1114" spans="5:6" hidden="1" x14ac:dyDescent="0.35">
      <c r="E1114" s="96" t="str">
        <f t="shared" si="29"/>
        <v xml:space="preserve"> </v>
      </c>
      <c r="F1114" s="96" t="str">
        <f t="shared" si="29"/>
        <v xml:space="preserve"> </v>
      </c>
    </row>
    <row r="1115" spans="5:6" hidden="1" x14ac:dyDescent="0.35">
      <c r="E1115" s="96" t="str">
        <f t="shared" si="29"/>
        <v xml:space="preserve"> </v>
      </c>
      <c r="F1115" s="96" t="str">
        <f t="shared" si="29"/>
        <v xml:space="preserve"> </v>
      </c>
    </row>
    <row r="1116" spans="5:6" hidden="1" x14ac:dyDescent="0.35">
      <c r="E1116" s="96" t="str">
        <f t="shared" si="29"/>
        <v xml:space="preserve"> </v>
      </c>
      <c r="F1116" s="96" t="str">
        <f t="shared" si="29"/>
        <v xml:space="preserve"> </v>
      </c>
    </row>
    <row r="1117" spans="5:6" hidden="1" x14ac:dyDescent="0.35">
      <c r="E1117" s="96" t="str">
        <f t="shared" si="29"/>
        <v xml:space="preserve"> </v>
      </c>
      <c r="F1117" s="96" t="str">
        <f t="shared" si="29"/>
        <v xml:space="preserve"> </v>
      </c>
    </row>
    <row r="1118" spans="5:6" hidden="1" x14ac:dyDescent="0.35">
      <c r="E1118" s="96" t="str">
        <f t="shared" si="29"/>
        <v xml:space="preserve"> </v>
      </c>
      <c r="F1118" s="96" t="str">
        <f t="shared" si="29"/>
        <v xml:space="preserve"> </v>
      </c>
    </row>
    <row r="1119" spans="5:6" hidden="1" x14ac:dyDescent="0.35">
      <c r="E1119" s="96" t="str">
        <f t="shared" si="29"/>
        <v xml:space="preserve"> </v>
      </c>
      <c r="F1119" s="96" t="str">
        <f t="shared" si="29"/>
        <v xml:space="preserve"> </v>
      </c>
    </row>
    <row r="1120" spans="5:6" hidden="1" x14ac:dyDescent="0.35">
      <c r="E1120" s="96" t="str">
        <f t="shared" si="29"/>
        <v xml:space="preserve"> </v>
      </c>
      <c r="F1120" s="96" t="str">
        <f t="shared" si="29"/>
        <v xml:space="preserve"> </v>
      </c>
    </row>
    <row r="1121" spans="5:6" hidden="1" x14ac:dyDescent="0.35">
      <c r="E1121" s="96" t="str">
        <f t="shared" si="29"/>
        <v xml:space="preserve"> </v>
      </c>
      <c r="F1121" s="96" t="str">
        <f t="shared" si="29"/>
        <v xml:space="preserve"> </v>
      </c>
    </row>
    <row r="1122" spans="5:6" hidden="1" x14ac:dyDescent="0.35">
      <c r="E1122" s="96" t="str">
        <f t="shared" si="29"/>
        <v xml:space="preserve"> </v>
      </c>
      <c r="F1122" s="96" t="str">
        <f t="shared" si="29"/>
        <v xml:space="preserve"> </v>
      </c>
    </row>
    <row r="1123" spans="5:6" hidden="1" x14ac:dyDescent="0.35">
      <c r="E1123" s="96" t="str">
        <f t="shared" si="29"/>
        <v xml:space="preserve"> </v>
      </c>
      <c r="F1123" s="96" t="str">
        <f t="shared" si="29"/>
        <v xml:space="preserve"> </v>
      </c>
    </row>
    <row r="1124" spans="5:6" hidden="1" x14ac:dyDescent="0.35">
      <c r="E1124" s="96" t="str">
        <f t="shared" si="29"/>
        <v xml:space="preserve"> </v>
      </c>
      <c r="F1124" s="96" t="str">
        <f t="shared" si="29"/>
        <v xml:space="preserve"> </v>
      </c>
    </row>
    <row r="1125" spans="5:6" hidden="1" x14ac:dyDescent="0.35">
      <c r="E1125" s="96" t="str">
        <f t="shared" si="29"/>
        <v xml:space="preserve"> </v>
      </c>
      <c r="F1125" s="96" t="str">
        <f t="shared" si="29"/>
        <v xml:space="preserve"> </v>
      </c>
    </row>
    <row r="1126" spans="5:6" hidden="1" x14ac:dyDescent="0.35">
      <c r="E1126" s="96" t="str">
        <f t="shared" si="29"/>
        <v xml:space="preserve"> </v>
      </c>
      <c r="F1126" s="96" t="str">
        <f t="shared" si="29"/>
        <v xml:space="preserve"> </v>
      </c>
    </row>
    <row r="1127" spans="5:6" hidden="1" x14ac:dyDescent="0.35">
      <c r="E1127" s="96" t="str">
        <f t="shared" si="29"/>
        <v xml:space="preserve"> </v>
      </c>
      <c r="F1127" s="96" t="str">
        <f t="shared" si="29"/>
        <v xml:space="preserve"> </v>
      </c>
    </row>
    <row r="1128" spans="5:6" hidden="1" x14ac:dyDescent="0.35">
      <c r="E1128" s="96" t="str">
        <f t="shared" si="29"/>
        <v xml:space="preserve"> </v>
      </c>
      <c r="F1128" s="96" t="str">
        <f t="shared" si="29"/>
        <v xml:space="preserve"> </v>
      </c>
    </row>
    <row r="1129" spans="5:6" hidden="1" x14ac:dyDescent="0.35">
      <c r="E1129" s="96" t="str">
        <f t="shared" si="29"/>
        <v xml:space="preserve"> </v>
      </c>
      <c r="F1129" s="96" t="str">
        <f t="shared" si="29"/>
        <v xml:space="preserve"> </v>
      </c>
    </row>
    <row r="1130" spans="5:6" hidden="1" x14ac:dyDescent="0.35">
      <c r="E1130" s="96" t="str">
        <f t="shared" si="29"/>
        <v xml:space="preserve"> </v>
      </c>
      <c r="F1130" s="96" t="str">
        <f t="shared" si="29"/>
        <v xml:space="preserve"> </v>
      </c>
    </row>
    <row r="1131" spans="5:6" hidden="1" x14ac:dyDescent="0.35">
      <c r="E1131" s="96" t="str">
        <f t="shared" si="29"/>
        <v xml:space="preserve"> </v>
      </c>
      <c r="F1131" s="96" t="str">
        <f t="shared" si="29"/>
        <v xml:space="preserve"> </v>
      </c>
    </row>
    <row r="1132" spans="5:6" hidden="1" x14ac:dyDescent="0.35">
      <c r="E1132" s="96" t="str">
        <f t="shared" si="29"/>
        <v xml:space="preserve"> </v>
      </c>
      <c r="F1132" s="96" t="str">
        <f t="shared" si="29"/>
        <v xml:space="preserve"> </v>
      </c>
    </row>
    <row r="1133" spans="5:6" hidden="1" x14ac:dyDescent="0.35">
      <c r="E1133" s="96" t="str">
        <f t="shared" si="29"/>
        <v xml:space="preserve"> </v>
      </c>
      <c r="F1133" s="96" t="str">
        <f t="shared" si="29"/>
        <v xml:space="preserve"> </v>
      </c>
    </row>
    <row r="1134" spans="5:6" hidden="1" x14ac:dyDescent="0.35">
      <c r="E1134" s="96" t="str">
        <f t="shared" si="29"/>
        <v xml:space="preserve"> </v>
      </c>
      <c r="F1134" s="96" t="str">
        <f t="shared" si="29"/>
        <v xml:space="preserve"> </v>
      </c>
    </row>
    <row r="1135" spans="5:6" hidden="1" x14ac:dyDescent="0.35">
      <c r="E1135" s="96" t="str">
        <f t="shared" si="29"/>
        <v xml:space="preserve"> </v>
      </c>
      <c r="F1135" s="96" t="str">
        <f t="shared" si="29"/>
        <v xml:space="preserve"> </v>
      </c>
    </row>
    <row r="1136" spans="5:6" hidden="1" x14ac:dyDescent="0.35">
      <c r="E1136" s="96" t="str">
        <f t="shared" si="29"/>
        <v xml:space="preserve"> </v>
      </c>
      <c r="F1136" s="96" t="str">
        <f t="shared" si="29"/>
        <v xml:space="preserve"> </v>
      </c>
    </row>
    <row r="1137" spans="5:6" hidden="1" x14ac:dyDescent="0.35">
      <c r="E1137" s="96" t="str">
        <f t="shared" si="29"/>
        <v xml:space="preserve"> </v>
      </c>
      <c r="F1137" s="96" t="str">
        <f t="shared" si="29"/>
        <v xml:space="preserve"> </v>
      </c>
    </row>
    <row r="1138" spans="5:6" hidden="1" x14ac:dyDescent="0.35">
      <c r="E1138" s="96" t="str">
        <f t="shared" si="29"/>
        <v xml:space="preserve"> </v>
      </c>
      <c r="F1138" s="96" t="str">
        <f t="shared" si="29"/>
        <v xml:space="preserve"> </v>
      </c>
    </row>
    <row r="1139" spans="5:6" hidden="1" x14ac:dyDescent="0.35">
      <c r="E1139" s="96" t="str">
        <f t="shared" si="29"/>
        <v xml:space="preserve"> </v>
      </c>
      <c r="F1139" s="96" t="str">
        <f t="shared" si="29"/>
        <v xml:space="preserve"> </v>
      </c>
    </row>
    <row r="1140" spans="5:6" hidden="1" x14ac:dyDescent="0.35">
      <c r="E1140" s="96" t="str">
        <f t="shared" si="29"/>
        <v xml:space="preserve"> </v>
      </c>
      <c r="F1140" s="96" t="str">
        <f t="shared" si="29"/>
        <v xml:space="preserve"> </v>
      </c>
    </row>
    <row r="1141" spans="5:6" hidden="1" x14ac:dyDescent="0.35">
      <c r="E1141" s="96" t="str">
        <f t="shared" si="29"/>
        <v xml:space="preserve"> </v>
      </c>
      <c r="F1141" s="96" t="str">
        <f t="shared" si="29"/>
        <v xml:space="preserve"> </v>
      </c>
    </row>
    <row r="1142" spans="5:6" hidden="1" x14ac:dyDescent="0.35">
      <c r="E1142" s="96" t="str">
        <f t="shared" si="29"/>
        <v xml:space="preserve"> </v>
      </c>
      <c r="F1142" s="96" t="str">
        <f t="shared" si="29"/>
        <v xml:space="preserve"> </v>
      </c>
    </row>
    <row r="1143" spans="5:6" hidden="1" x14ac:dyDescent="0.35">
      <c r="E1143" s="96" t="str">
        <f t="shared" si="29"/>
        <v xml:space="preserve"> </v>
      </c>
      <c r="F1143" s="96" t="str">
        <f t="shared" si="29"/>
        <v xml:space="preserve"> </v>
      </c>
    </row>
    <row r="1144" spans="5:6" hidden="1" x14ac:dyDescent="0.35">
      <c r="E1144" s="96" t="str">
        <f t="shared" si="29"/>
        <v xml:space="preserve"> </v>
      </c>
      <c r="F1144" s="96" t="str">
        <f t="shared" si="29"/>
        <v xml:space="preserve"> </v>
      </c>
    </row>
    <row r="1145" spans="5:6" hidden="1" x14ac:dyDescent="0.35">
      <c r="E1145" s="96" t="str">
        <f t="shared" si="29"/>
        <v xml:space="preserve"> </v>
      </c>
      <c r="F1145" s="96" t="str">
        <f t="shared" si="29"/>
        <v xml:space="preserve"> </v>
      </c>
    </row>
    <row r="1146" spans="5:6" hidden="1" x14ac:dyDescent="0.35">
      <c r="E1146" s="96" t="str">
        <f t="shared" si="29"/>
        <v xml:space="preserve"> </v>
      </c>
      <c r="F1146" s="96" t="str">
        <f t="shared" si="29"/>
        <v xml:space="preserve"> </v>
      </c>
    </row>
    <row r="1147" spans="5:6" hidden="1" x14ac:dyDescent="0.35">
      <c r="E1147" s="96" t="str">
        <f t="shared" si="29"/>
        <v xml:space="preserve"> </v>
      </c>
      <c r="F1147" s="96" t="str">
        <f t="shared" si="29"/>
        <v xml:space="preserve"> </v>
      </c>
    </row>
    <row r="1148" spans="5:6" hidden="1" x14ac:dyDescent="0.35">
      <c r="E1148" s="96" t="str">
        <f t="shared" si="29"/>
        <v xml:space="preserve"> </v>
      </c>
      <c r="F1148" s="96" t="str">
        <f t="shared" si="29"/>
        <v xml:space="preserve"> </v>
      </c>
    </row>
    <row r="1149" spans="5:6" hidden="1" x14ac:dyDescent="0.35">
      <c r="E1149" s="96" t="str">
        <f t="shared" si="29"/>
        <v xml:space="preserve"> </v>
      </c>
      <c r="F1149" s="96" t="str">
        <f t="shared" si="29"/>
        <v xml:space="preserve"> </v>
      </c>
    </row>
    <row r="1150" spans="5:6" hidden="1" x14ac:dyDescent="0.35">
      <c r="E1150" s="96" t="str">
        <f t="shared" si="29"/>
        <v xml:space="preserve"> </v>
      </c>
      <c r="F1150" s="96" t="str">
        <f t="shared" si="29"/>
        <v xml:space="preserve"> </v>
      </c>
    </row>
    <row r="1151" spans="5:6" hidden="1" x14ac:dyDescent="0.35">
      <c r="E1151" s="96" t="str">
        <f t="shared" si="29"/>
        <v xml:space="preserve"> </v>
      </c>
      <c r="F1151" s="96" t="str">
        <f t="shared" si="29"/>
        <v xml:space="preserve"> </v>
      </c>
    </row>
    <row r="1152" spans="5:6" hidden="1" x14ac:dyDescent="0.35">
      <c r="E1152" s="96" t="str">
        <f t="shared" si="29"/>
        <v xml:space="preserve"> </v>
      </c>
      <c r="F1152" s="96" t="str">
        <f t="shared" si="29"/>
        <v xml:space="preserve"> </v>
      </c>
    </row>
    <row r="1153" spans="5:6" hidden="1" x14ac:dyDescent="0.35">
      <c r="E1153" s="96" t="str">
        <f t="shared" si="29"/>
        <v xml:space="preserve"> </v>
      </c>
      <c r="F1153" s="96" t="str">
        <f t="shared" si="29"/>
        <v xml:space="preserve"> </v>
      </c>
    </row>
    <row r="1154" spans="5:6" hidden="1" x14ac:dyDescent="0.35">
      <c r="E1154" s="96" t="str">
        <f t="shared" si="29"/>
        <v xml:space="preserve"> </v>
      </c>
      <c r="F1154" s="96" t="str">
        <f t="shared" si="29"/>
        <v xml:space="preserve"> </v>
      </c>
    </row>
    <row r="1155" spans="5:6" hidden="1" x14ac:dyDescent="0.35">
      <c r="E1155" s="96" t="str">
        <f t="shared" si="29"/>
        <v xml:space="preserve"> </v>
      </c>
      <c r="F1155" s="96" t="str">
        <f t="shared" si="29"/>
        <v xml:space="preserve"> </v>
      </c>
    </row>
    <row r="1156" spans="5:6" hidden="1" x14ac:dyDescent="0.35">
      <c r="E1156" s="96" t="str">
        <f t="shared" si="29"/>
        <v xml:space="preserve"> </v>
      </c>
      <c r="F1156" s="96" t="str">
        <f t="shared" si="29"/>
        <v xml:space="preserve"> </v>
      </c>
    </row>
    <row r="1157" spans="5:6" hidden="1" x14ac:dyDescent="0.35">
      <c r="E1157" s="96" t="str">
        <f t="shared" si="29"/>
        <v xml:space="preserve"> </v>
      </c>
      <c r="F1157" s="96" t="str">
        <f t="shared" si="29"/>
        <v xml:space="preserve"> </v>
      </c>
    </row>
    <row r="1158" spans="5:6" hidden="1" x14ac:dyDescent="0.35">
      <c r="E1158" s="96" t="str">
        <f t="shared" si="29"/>
        <v xml:space="preserve"> </v>
      </c>
      <c r="F1158" s="96" t="str">
        <f t="shared" si="29"/>
        <v xml:space="preserve"> </v>
      </c>
    </row>
    <row r="1159" spans="5:6" hidden="1" x14ac:dyDescent="0.35">
      <c r="E1159" s="96" t="str">
        <f t="shared" si="29"/>
        <v xml:space="preserve"> </v>
      </c>
      <c r="F1159" s="96" t="str">
        <f t="shared" si="29"/>
        <v xml:space="preserve"> </v>
      </c>
    </row>
    <row r="1160" spans="5:6" hidden="1" x14ac:dyDescent="0.35">
      <c r="E1160" s="96" t="str">
        <f t="shared" si="29"/>
        <v xml:space="preserve"> </v>
      </c>
      <c r="F1160" s="96" t="str">
        <f t="shared" si="29"/>
        <v xml:space="preserve"> </v>
      </c>
    </row>
    <row r="1161" spans="5:6" hidden="1" x14ac:dyDescent="0.35">
      <c r="E1161" s="96" t="str">
        <f t="shared" si="29"/>
        <v xml:space="preserve"> </v>
      </c>
      <c r="F1161" s="96" t="str">
        <f t="shared" si="29"/>
        <v xml:space="preserve"> </v>
      </c>
    </row>
    <row r="1162" spans="5:6" hidden="1" x14ac:dyDescent="0.35">
      <c r="E1162" s="96" t="str">
        <f t="shared" si="29"/>
        <v xml:space="preserve"> </v>
      </c>
      <c r="F1162" s="96" t="str">
        <f t="shared" si="29"/>
        <v xml:space="preserve"> </v>
      </c>
    </row>
    <row r="1163" spans="5:6" hidden="1" x14ac:dyDescent="0.35">
      <c r="E1163" s="96" t="str">
        <f t="shared" si="29"/>
        <v xml:space="preserve"> </v>
      </c>
      <c r="F1163" s="96" t="str">
        <f t="shared" si="29"/>
        <v xml:space="preserve"> </v>
      </c>
    </row>
    <row r="1164" spans="5:6" hidden="1" x14ac:dyDescent="0.35">
      <c r="E1164" s="96" t="str">
        <f t="shared" si="29"/>
        <v xml:space="preserve"> </v>
      </c>
      <c r="F1164" s="96" t="str">
        <f t="shared" si="29"/>
        <v xml:space="preserve"> </v>
      </c>
    </row>
    <row r="1165" spans="5:6" hidden="1" x14ac:dyDescent="0.35">
      <c r="E1165" s="96" t="str">
        <f t="shared" si="29"/>
        <v xml:space="preserve"> </v>
      </c>
      <c r="F1165" s="96" t="str">
        <f t="shared" si="29"/>
        <v xml:space="preserve"> </v>
      </c>
    </row>
    <row r="1166" spans="5:6" hidden="1" x14ac:dyDescent="0.35">
      <c r="E1166" s="96" t="str">
        <f t="shared" si="29"/>
        <v xml:space="preserve"> </v>
      </c>
      <c r="F1166" s="96" t="str">
        <f t="shared" si="29"/>
        <v xml:space="preserve"> </v>
      </c>
    </row>
    <row r="1167" spans="5:6" hidden="1" x14ac:dyDescent="0.35">
      <c r="E1167" s="96" t="str">
        <f t="shared" si="29"/>
        <v xml:space="preserve"> </v>
      </c>
      <c r="F1167" s="96" t="str">
        <f t="shared" si="29"/>
        <v xml:space="preserve"> </v>
      </c>
    </row>
    <row r="1168" spans="5:6" hidden="1" x14ac:dyDescent="0.35">
      <c r="E1168" s="96" t="str">
        <f t="shared" si="29"/>
        <v xml:space="preserve"> </v>
      </c>
      <c r="F1168" s="96" t="str">
        <f t="shared" si="29"/>
        <v xml:space="preserve"> </v>
      </c>
    </row>
    <row r="1169" spans="5:6" hidden="1" x14ac:dyDescent="0.35">
      <c r="E1169" s="96" t="str">
        <f t="shared" si="29"/>
        <v xml:space="preserve"> </v>
      </c>
      <c r="F1169" s="96" t="str">
        <f t="shared" si="29"/>
        <v xml:space="preserve"> </v>
      </c>
    </row>
    <row r="1170" spans="5:6" hidden="1" x14ac:dyDescent="0.35">
      <c r="E1170" s="96" t="str">
        <f t="shared" si="29"/>
        <v xml:space="preserve"> </v>
      </c>
      <c r="F1170" s="96" t="str">
        <f t="shared" si="29"/>
        <v xml:space="preserve"> </v>
      </c>
    </row>
    <row r="1171" spans="5:6" hidden="1" x14ac:dyDescent="0.35">
      <c r="E1171" s="96" t="str">
        <f t="shared" si="29"/>
        <v xml:space="preserve"> </v>
      </c>
      <c r="F1171" s="96" t="str">
        <f t="shared" si="29"/>
        <v xml:space="preserve"> </v>
      </c>
    </row>
    <row r="1172" spans="5:6" hidden="1" x14ac:dyDescent="0.35">
      <c r="E1172" s="96" t="str">
        <f t="shared" si="29"/>
        <v xml:space="preserve"> </v>
      </c>
      <c r="F1172" s="96" t="str">
        <f t="shared" si="29"/>
        <v xml:space="preserve"> </v>
      </c>
    </row>
    <row r="1173" spans="5:6" hidden="1" x14ac:dyDescent="0.35">
      <c r="E1173" s="96" t="str">
        <f t="shared" si="29"/>
        <v xml:space="preserve"> </v>
      </c>
      <c r="F1173" s="96" t="str">
        <f t="shared" si="29"/>
        <v xml:space="preserve"> </v>
      </c>
    </row>
    <row r="1174" spans="5:6" hidden="1" x14ac:dyDescent="0.35">
      <c r="E1174" s="96" t="str">
        <f t="shared" si="29"/>
        <v xml:space="preserve"> </v>
      </c>
      <c r="F1174" s="96" t="str">
        <f t="shared" si="29"/>
        <v xml:space="preserve"> </v>
      </c>
    </row>
    <row r="1175" spans="5:6" hidden="1" x14ac:dyDescent="0.35">
      <c r="E1175" s="96" t="str">
        <f t="shared" ref="E1175:F1238" si="30">IF((IFERROR(C1175/C1174-1," "))=-1," ",IFERROR(C1175/C1174-1," "))</f>
        <v xml:space="preserve"> </v>
      </c>
      <c r="F1175" s="96" t="str">
        <f t="shared" si="30"/>
        <v xml:space="preserve"> </v>
      </c>
    </row>
    <row r="1176" spans="5:6" hidden="1" x14ac:dyDescent="0.35">
      <c r="E1176" s="96" t="str">
        <f t="shared" si="30"/>
        <v xml:space="preserve"> </v>
      </c>
      <c r="F1176" s="96" t="str">
        <f t="shared" si="30"/>
        <v xml:space="preserve"> </v>
      </c>
    </row>
    <row r="1177" spans="5:6" hidden="1" x14ac:dyDescent="0.35">
      <c r="E1177" s="96" t="str">
        <f t="shared" si="30"/>
        <v xml:space="preserve"> </v>
      </c>
      <c r="F1177" s="96" t="str">
        <f t="shared" si="30"/>
        <v xml:space="preserve"> </v>
      </c>
    </row>
    <row r="1178" spans="5:6" hidden="1" x14ac:dyDescent="0.35">
      <c r="E1178" s="96" t="str">
        <f t="shared" si="30"/>
        <v xml:space="preserve"> </v>
      </c>
      <c r="F1178" s="96" t="str">
        <f t="shared" si="30"/>
        <v xml:space="preserve"> </v>
      </c>
    </row>
    <row r="1179" spans="5:6" hidden="1" x14ac:dyDescent="0.35">
      <c r="E1179" s="96" t="str">
        <f t="shared" si="30"/>
        <v xml:space="preserve"> </v>
      </c>
      <c r="F1179" s="96" t="str">
        <f t="shared" si="30"/>
        <v xml:space="preserve"> </v>
      </c>
    </row>
    <row r="1180" spans="5:6" hidden="1" x14ac:dyDescent="0.35">
      <c r="E1180" s="96" t="str">
        <f t="shared" si="30"/>
        <v xml:space="preserve"> </v>
      </c>
      <c r="F1180" s="96" t="str">
        <f t="shared" si="30"/>
        <v xml:space="preserve"> </v>
      </c>
    </row>
    <row r="1181" spans="5:6" hidden="1" x14ac:dyDescent="0.35">
      <c r="E1181" s="96" t="str">
        <f t="shared" si="30"/>
        <v xml:space="preserve"> </v>
      </c>
      <c r="F1181" s="96" t="str">
        <f t="shared" si="30"/>
        <v xml:space="preserve"> </v>
      </c>
    </row>
    <row r="1182" spans="5:6" hidden="1" x14ac:dyDescent="0.35">
      <c r="E1182" s="96" t="str">
        <f t="shared" si="30"/>
        <v xml:space="preserve"> </v>
      </c>
      <c r="F1182" s="96" t="str">
        <f t="shared" si="30"/>
        <v xml:space="preserve"> </v>
      </c>
    </row>
    <row r="1183" spans="5:6" hidden="1" x14ac:dyDescent="0.35">
      <c r="E1183" s="96" t="str">
        <f t="shared" si="30"/>
        <v xml:space="preserve"> </v>
      </c>
      <c r="F1183" s="96" t="str">
        <f t="shared" si="30"/>
        <v xml:space="preserve"> </v>
      </c>
    </row>
    <row r="1184" spans="5:6" hidden="1" x14ac:dyDescent="0.35">
      <c r="E1184" s="96" t="str">
        <f t="shared" si="30"/>
        <v xml:space="preserve"> </v>
      </c>
      <c r="F1184" s="96" t="str">
        <f t="shared" si="30"/>
        <v xml:space="preserve"> </v>
      </c>
    </row>
    <row r="1185" spans="5:6" hidden="1" x14ac:dyDescent="0.35">
      <c r="E1185" s="96" t="str">
        <f t="shared" si="30"/>
        <v xml:space="preserve"> </v>
      </c>
      <c r="F1185" s="96" t="str">
        <f t="shared" si="30"/>
        <v xml:space="preserve"> </v>
      </c>
    </row>
    <row r="1186" spans="5:6" hidden="1" x14ac:dyDescent="0.35">
      <c r="E1186" s="96" t="str">
        <f t="shared" si="30"/>
        <v xml:space="preserve"> </v>
      </c>
      <c r="F1186" s="96" t="str">
        <f t="shared" si="30"/>
        <v xml:space="preserve"> </v>
      </c>
    </row>
    <row r="1187" spans="5:6" hidden="1" x14ac:dyDescent="0.35">
      <c r="E1187" s="96" t="str">
        <f t="shared" si="30"/>
        <v xml:space="preserve"> </v>
      </c>
      <c r="F1187" s="96" t="str">
        <f t="shared" si="30"/>
        <v xml:space="preserve"> </v>
      </c>
    </row>
    <row r="1188" spans="5:6" hidden="1" x14ac:dyDescent="0.35">
      <c r="E1188" s="96" t="str">
        <f t="shared" si="30"/>
        <v xml:space="preserve"> </v>
      </c>
      <c r="F1188" s="96" t="str">
        <f t="shared" si="30"/>
        <v xml:space="preserve"> </v>
      </c>
    </row>
    <row r="1189" spans="5:6" hidden="1" x14ac:dyDescent="0.35">
      <c r="E1189" s="96" t="str">
        <f t="shared" si="30"/>
        <v xml:space="preserve"> </v>
      </c>
      <c r="F1189" s="96" t="str">
        <f t="shared" si="30"/>
        <v xml:space="preserve"> </v>
      </c>
    </row>
    <row r="1190" spans="5:6" hidden="1" x14ac:dyDescent="0.35">
      <c r="E1190" s="96" t="str">
        <f t="shared" si="30"/>
        <v xml:space="preserve"> </v>
      </c>
      <c r="F1190" s="96" t="str">
        <f t="shared" si="30"/>
        <v xml:space="preserve"> </v>
      </c>
    </row>
    <row r="1191" spans="5:6" hidden="1" x14ac:dyDescent="0.35">
      <c r="E1191" s="96" t="str">
        <f t="shared" si="30"/>
        <v xml:space="preserve"> </v>
      </c>
      <c r="F1191" s="96" t="str">
        <f t="shared" si="30"/>
        <v xml:space="preserve"> </v>
      </c>
    </row>
    <row r="1192" spans="5:6" hidden="1" x14ac:dyDescent="0.35">
      <c r="E1192" s="96" t="str">
        <f t="shared" si="30"/>
        <v xml:space="preserve"> </v>
      </c>
      <c r="F1192" s="96" t="str">
        <f t="shared" si="30"/>
        <v xml:space="preserve"> </v>
      </c>
    </row>
    <row r="1193" spans="5:6" hidden="1" x14ac:dyDescent="0.35">
      <c r="E1193" s="96" t="str">
        <f t="shared" si="30"/>
        <v xml:space="preserve"> </v>
      </c>
      <c r="F1193" s="96" t="str">
        <f t="shared" si="30"/>
        <v xml:space="preserve"> </v>
      </c>
    </row>
    <row r="1194" spans="5:6" hidden="1" x14ac:dyDescent="0.35">
      <c r="E1194" s="96" t="str">
        <f t="shared" si="30"/>
        <v xml:space="preserve"> </v>
      </c>
      <c r="F1194" s="96" t="str">
        <f t="shared" si="30"/>
        <v xml:space="preserve"> </v>
      </c>
    </row>
    <row r="1195" spans="5:6" hidden="1" x14ac:dyDescent="0.35">
      <c r="E1195" s="96" t="str">
        <f t="shared" si="30"/>
        <v xml:space="preserve"> </v>
      </c>
      <c r="F1195" s="96" t="str">
        <f t="shared" si="30"/>
        <v xml:space="preserve"> </v>
      </c>
    </row>
    <row r="1196" spans="5:6" hidden="1" x14ac:dyDescent="0.35">
      <c r="E1196" s="96" t="str">
        <f t="shared" si="30"/>
        <v xml:space="preserve"> </v>
      </c>
      <c r="F1196" s="96" t="str">
        <f t="shared" si="30"/>
        <v xml:space="preserve"> </v>
      </c>
    </row>
    <row r="1197" spans="5:6" hidden="1" x14ac:dyDescent="0.35">
      <c r="E1197" s="96" t="str">
        <f t="shared" si="30"/>
        <v xml:space="preserve"> </v>
      </c>
      <c r="F1197" s="96" t="str">
        <f t="shared" si="30"/>
        <v xml:space="preserve"> </v>
      </c>
    </row>
    <row r="1198" spans="5:6" hidden="1" x14ac:dyDescent="0.35">
      <c r="E1198" s="96" t="str">
        <f t="shared" si="30"/>
        <v xml:space="preserve"> </v>
      </c>
      <c r="F1198" s="96" t="str">
        <f t="shared" si="30"/>
        <v xml:space="preserve"> </v>
      </c>
    </row>
    <row r="1199" spans="5:6" hidden="1" x14ac:dyDescent="0.35">
      <c r="E1199" s="96" t="str">
        <f t="shared" si="30"/>
        <v xml:space="preserve"> </v>
      </c>
      <c r="F1199" s="96" t="str">
        <f t="shared" si="30"/>
        <v xml:space="preserve"> </v>
      </c>
    </row>
    <row r="1200" spans="5:6" hidden="1" x14ac:dyDescent="0.35">
      <c r="E1200" s="96" t="str">
        <f t="shared" si="30"/>
        <v xml:space="preserve"> </v>
      </c>
      <c r="F1200" s="96" t="str">
        <f t="shared" si="30"/>
        <v xml:space="preserve"> </v>
      </c>
    </row>
    <row r="1201" spans="5:6" hidden="1" x14ac:dyDescent="0.35">
      <c r="E1201" s="96" t="str">
        <f t="shared" si="30"/>
        <v xml:space="preserve"> </v>
      </c>
      <c r="F1201" s="96" t="str">
        <f t="shared" si="30"/>
        <v xml:space="preserve"> </v>
      </c>
    </row>
    <row r="1202" spans="5:6" hidden="1" x14ac:dyDescent="0.35">
      <c r="E1202" s="96" t="str">
        <f t="shared" si="30"/>
        <v xml:space="preserve"> </v>
      </c>
      <c r="F1202" s="96" t="str">
        <f t="shared" si="30"/>
        <v xml:space="preserve"> </v>
      </c>
    </row>
    <row r="1203" spans="5:6" hidden="1" x14ac:dyDescent="0.35">
      <c r="E1203" s="96" t="str">
        <f t="shared" si="30"/>
        <v xml:space="preserve"> </v>
      </c>
      <c r="F1203" s="96" t="str">
        <f t="shared" si="30"/>
        <v xml:space="preserve"> </v>
      </c>
    </row>
    <row r="1204" spans="5:6" hidden="1" x14ac:dyDescent="0.35">
      <c r="E1204" s="96" t="str">
        <f t="shared" si="30"/>
        <v xml:space="preserve"> </v>
      </c>
      <c r="F1204" s="96" t="str">
        <f t="shared" si="30"/>
        <v xml:space="preserve"> </v>
      </c>
    </row>
    <row r="1205" spans="5:6" hidden="1" x14ac:dyDescent="0.35">
      <c r="E1205" s="96" t="str">
        <f t="shared" si="30"/>
        <v xml:space="preserve"> </v>
      </c>
      <c r="F1205" s="96" t="str">
        <f t="shared" si="30"/>
        <v xml:space="preserve"> </v>
      </c>
    </row>
    <row r="1206" spans="5:6" hidden="1" x14ac:dyDescent="0.35">
      <c r="E1206" s="96" t="str">
        <f t="shared" si="30"/>
        <v xml:space="preserve"> </v>
      </c>
      <c r="F1206" s="96" t="str">
        <f t="shared" si="30"/>
        <v xml:space="preserve"> </v>
      </c>
    </row>
    <row r="1207" spans="5:6" hidden="1" x14ac:dyDescent="0.35">
      <c r="E1207" s="96" t="str">
        <f t="shared" si="30"/>
        <v xml:space="preserve"> </v>
      </c>
      <c r="F1207" s="96" t="str">
        <f t="shared" si="30"/>
        <v xml:space="preserve"> </v>
      </c>
    </row>
    <row r="1208" spans="5:6" hidden="1" x14ac:dyDescent="0.35">
      <c r="E1208" s="96" t="str">
        <f t="shared" si="30"/>
        <v xml:space="preserve"> </v>
      </c>
      <c r="F1208" s="96" t="str">
        <f t="shared" si="30"/>
        <v xml:space="preserve"> </v>
      </c>
    </row>
    <row r="1209" spans="5:6" hidden="1" x14ac:dyDescent="0.35">
      <c r="E1209" s="96" t="str">
        <f t="shared" si="30"/>
        <v xml:space="preserve"> </v>
      </c>
      <c r="F1209" s="96" t="str">
        <f t="shared" si="30"/>
        <v xml:space="preserve"> </v>
      </c>
    </row>
    <row r="1210" spans="5:6" hidden="1" x14ac:dyDescent="0.35">
      <c r="E1210" s="96" t="str">
        <f t="shared" si="30"/>
        <v xml:space="preserve"> </v>
      </c>
      <c r="F1210" s="96" t="str">
        <f t="shared" si="30"/>
        <v xml:space="preserve"> </v>
      </c>
    </row>
    <row r="1211" spans="5:6" hidden="1" x14ac:dyDescent="0.35">
      <c r="E1211" s="96" t="str">
        <f t="shared" si="30"/>
        <v xml:space="preserve"> </v>
      </c>
      <c r="F1211" s="96" t="str">
        <f t="shared" si="30"/>
        <v xml:space="preserve"> </v>
      </c>
    </row>
    <row r="1212" spans="5:6" hidden="1" x14ac:dyDescent="0.35">
      <c r="E1212" s="96" t="str">
        <f t="shared" si="30"/>
        <v xml:space="preserve"> </v>
      </c>
      <c r="F1212" s="96" t="str">
        <f t="shared" si="30"/>
        <v xml:space="preserve"> </v>
      </c>
    </row>
    <row r="1213" spans="5:6" hidden="1" x14ac:dyDescent="0.35">
      <c r="E1213" s="96" t="str">
        <f t="shared" si="30"/>
        <v xml:space="preserve"> </v>
      </c>
      <c r="F1213" s="96" t="str">
        <f t="shared" si="30"/>
        <v xml:space="preserve"> </v>
      </c>
    </row>
    <row r="1214" spans="5:6" hidden="1" x14ac:dyDescent="0.35">
      <c r="E1214" s="96" t="str">
        <f t="shared" si="30"/>
        <v xml:space="preserve"> </v>
      </c>
      <c r="F1214" s="96" t="str">
        <f t="shared" si="30"/>
        <v xml:space="preserve"> </v>
      </c>
    </row>
    <row r="1215" spans="5:6" hidden="1" x14ac:dyDescent="0.35">
      <c r="E1215" s="96" t="str">
        <f t="shared" si="30"/>
        <v xml:space="preserve"> </v>
      </c>
      <c r="F1215" s="96" t="str">
        <f t="shared" si="30"/>
        <v xml:space="preserve"> </v>
      </c>
    </row>
    <row r="1216" spans="5:6" hidden="1" x14ac:dyDescent="0.35">
      <c r="E1216" s="96" t="str">
        <f t="shared" si="30"/>
        <v xml:space="preserve"> </v>
      </c>
      <c r="F1216" s="96" t="str">
        <f t="shared" si="30"/>
        <v xml:space="preserve"> </v>
      </c>
    </row>
    <row r="1217" spans="5:6" hidden="1" x14ac:dyDescent="0.35">
      <c r="E1217" s="96" t="str">
        <f t="shared" si="30"/>
        <v xml:space="preserve"> </v>
      </c>
      <c r="F1217" s="96" t="str">
        <f t="shared" si="30"/>
        <v xml:space="preserve"> </v>
      </c>
    </row>
    <row r="1218" spans="5:6" hidden="1" x14ac:dyDescent="0.35">
      <c r="E1218" s="96" t="str">
        <f t="shared" si="30"/>
        <v xml:space="preserve"> </v>
      </c>
      <c r="F1218" s="96" t="str">
        <f t="shared" si="30"/>
        <v xml:space="preserve"> </v>
      </c>
    </row>
    <row r="1219" spans="5:6" hidden="1" x14ac:dyDescent="0.35">
      <c r="E1219" s="96" t="str">
        <f t="shared" si="30"/>
        <v xml:space="preserve"> </v>
      </c>
      <c r="F1219" s="96" t="str">
        <f t="shared" si="30"/>
        <v xml:space="preserve"> </v>
      </c>
    </row>
    <row r="1220" spans="5:6" hidden="1" x14ac:dyDescent="0.35">
      <c r="E1220" s="96" t="str">
        <f t="shared" si="30"/>
        <v xml:space="preserve"> </v>
      </c>
      <c r="F1220" s="96" t="str">
        <f t="shared" si="30"/>
        <v xml:space="preserve"> </v>
      </c>
    </row>
    <row r="1221" spans="5:6" hidden="1" x14ac:dyDescent="0.35">
      <c r="E1221" s="96" t="str">
        <f t="shared" si="30"/>
        <v xml:space="preserve"> </v>
      </c>
      <c r="F1221" s="96" t="str">
        <f t="shared" si="30"/>
        <v xml:space="preserve"> </v>
      </c>
    </row>
    <row r="1222" spans="5:6" hidden="1" x14ac:dyDescent="0.35">
      <c r="E1222" s="96" t="str">
        <f t="shared" si="30"/>
        <v xml:space="preserve"> </v>
      </c>
      <c r="F1222" s="96" t="str">
        <f t="shared" si="30"/>
        <v xml:space="preserve"> </v>
      </c>
    </row>
    <row r="1223" spans="5:6" hidden="1" x14ac:dyDescent="0.35">
      <c r="E1223" s="96" t="str">
        <f t="shared" si="30"/>
        <v xml:space="preserve"> </v>
      </c>
      <c r="F1223" s="96" t="str">
        <f t="shared" si="30"/>
        <v xml:space="preserve"> </v>
      </c>
    </row>
    <row r="1224" spans="5:6" hidden="1" x14ac:dyDescent="0.35">
      <c r="E1224" s="96" t="str">
        <f t="shared" si="30"/>
        <v xml:space="preserve"> </v>
      </c>
      <c r="F1224" s="96" t="str">
        <f t="shared" si="30"/>
        <v xml:space="preserve"> </v>
      </c>
    </row>
    <row r="1225" spans="5:6" hidden="1" x14ac:dyDescent="0.35">
      <c r="E1225" s="96" t="str">
        <f t="shared" si="30"/>
        <v xml:space="preserve"> </v>
      </c>
      <c r="F1225" s="96" t="str">
        <f t="shared" si="30"/>
        <v xml:space="preserve"> </v>
      </c>
    </row>
    <row r="1226" spans="5:6" hidden="1" x14ac:dyDescent="0.35">
      <c r="E1226" s="96" t="str">
        <f t="shared" si="30"/>
        <v xml:space="preserve"> </v>
      </c>
      <c r="F1226" s="96" t="str">
        <f t="shared" si="30"/>
        <v xml:space="preserve"> </v>
      </c>
    </row>
    <row r="1227" spans="5:6" hidden="1" x14ac:dyDescent="0.35">
      <c r="E1227" s="96" t="str">
        <f t="shared" si="30"/>
        <v xml:space="preserve"> </v>
      </c>
      <c r="F1227" s="96" t="str">
        <f t="shared" si="30"/>
        <v xml:space="preserve"> </v>
      </c>
    </row>
    <row r="1228" spans="5:6" hidden="1" x14ac:dyDescent="0.35">
      <c r="E1228" s="96" t="str">
        <f t="shared" si="30"/>
        <v xml:space="preserve"> </v>
      </c>
      <c r="F1228" s="96" t="str">
        <f t="shared" si="30"/>
        <v xml:space="preserve"> </v>
      </c>
    </row>
    <row r="1229" spans="5:6" hidden="1" x14ac:dyDescent="0.35">
      <c r="E1229" s="96" t="str">
        <f t="shared" si="30"/>
        <v xml:space="preserve"> </v>
      </c>
      <c r="F1229" s="96" t="str">
        <f t="shared" si="30"/>
        <v xml:space="preserve"> </v>
      </c>
    </row>
    <row r="1230" spans="5:6" hidden="1" x14ac:dyDescent="0.35">
      <c r="E1230" s="96" t="str">
        <f t="shared" si="30"/>
        <v xml:space="preserve"> </v>
      </c>
      <c r="F1230" s="96" t="str">
        <f t="shared" si="30"/>
        <v xml:space="preserve"> </v>
      </c>
    </row>
    <row r="1231" spans="5:6" hidden="1" x14ac:dyDescent="0.35">
      <c r="E1231" s="96" t="str">
        <f t="shared" si="30"/>
        <v xml:space="preserve"> </v>
      </c>
      <c r="F1231" s="96" t="str">
        <f t="shared" si="30"/>
        <v xml:space="preserve"> </v>
      </c>
    </row>
    <row r="1232" spans="5:6" hidden="1" x14ac:dyDescent="0.35">
      <c r="E1232" s="96" t="str">
        <f t="shared" si="30"/>
        <v xml:space="preserve"> </v>
      </c>
      <c r="F1232" s="96" t="str">
        <f t="shared" si="30"/>
        <v xml:space="preserve"> </v>
      </c>
    </row>
    <row r="1233" spans="5:6" hidden="1" x14ac:dyDescent="0.35">
      <c r="E1233" s="96" t="str">
        <f t="shared" si="30"/>
        <v xml:space="preserve"> </v>
      </c>
      <c r="F1233" s="96" t="str">
        <f t="shared" si="30"/>
        <v xml:space="preserve"> </v>
      </c>
    </row>
    <row r="1234" spans="5:6" hidden="1" x14ac:dyDescent="0.35">
      <c r="E1234" s="96" t="str">
        <f t="shared" si="30"/>
        <v xml:space="preserve"> </v>
      </c>
      <c r="F1234" s="96" t="str">
        <f t="shared" si="30"/>
        <v xml:space="preserve"> </v>
      </c>
    </row>
    <row r="1235" spans="5:6" hidden="1" x14ac:dyDescent="0.35">
      <c r="E1235" s="96" t="str">
        <f t="shared" si="30"/>
        <v xml:space="preserve"> </v>
      </c>
      <c r="F1235" s="96" t="str">
        <f t="shared" si="30"/>
        <v xml:space="preserve"> </v>
      </c>
    </row>
    <row r="1236" spans="5:6" hidden="1" x14ac:dyDescent="0.35">
      <c r="E1236" s="96" t="str">
        <f t="shared" si="30"/>
        <v xml:space="preserve"> </v>
      </c>
      <c r="F1236" s="96" t="str">
        <f t="shared" si="30"/>
        <v xml:space="preserve"> </v>
      </c>
    </row>
    <row r="1237" spans="5:6" hidden="1" x14ac:dyDescent="0.35">
      <c r="E1237" s="96" t="str">
        <f t="shared" si="30"/>
        <v xml:space="preserve"> </v>
      </c>
      <c r="F1237" s="96" t="str">
        <f t="shared" si="30"/>
        <v xml:space="preserve"> </v>
      </c>
    </row>
    <row r="1238" spans="5:6" hidden="1" x14ac:dyDescent="0.35">
      <c r="E1238" s="96" t="str">
        <f t="shared" si="30"/>
        <v xml:space="preserve"> </v>
      </c>
      <c r="F1238" s="96" t="str">
        <f t="shared" si="30"/>
        <v xml:space="preserve"> </v>
      </c>
    </row>
    <row r="1239" spans="5:6" hidden="1" x14ac:dyDescent="0.35">
      <c r="E1239" s="96" t="str">
        <f t="shared" ref="E1239:F1302" si="31">IF((IFERROR(C1239/C1238-1," "))=-1," ",IFERROR(C1239/C1238-1," "))</f>
        <v xml:space="preserve"> </v>
      </c>
      <c r="F1239" s="96" t="str">
        <f t="shared" si="31"/>
        <v xml:space="preserve"> </v>
      </c>
    </row>
    <row r="1240" spans="5:6" hidden="1" x14ac:dyDescent="0.35">
      <c r="E1240" s="96" t="str">
        <f t="shared" si="31"/>
        <v xml:space="preserve"> </v>
      </c>
      <c r="F1240" s="96" t="str">
        <f t="shared" si="31"/>
        <v xml:space="preserve"> </v>
      </c>
    </row>
    <row r="1241" spans="5:6" hidden="1" x14ac:dyDescent="0.35">
      <c r="E1241" s="96" t="str">
        <f t="shared" si="31"/>
        <v xml:space="preserve"> </v>
      </c>
      <c r="F1241" s="96" t="str">
        <f t="shared" si="31"/>
        <v xml:space="preserve"> </v>
      </c>
    </row>
    <row r="1242" spans="5:6" hidden="1" x14ac:dyDescent="0.35">
      <c r="E1242" s="96" t="str">
        <f t="shared" si="31"/>
        <v xml:space="preserve"> </v>
      </c>
      <c r="F1242" s="96" t="str">
        <f t="shared" si="31"/>
        <v xml:space="preserve"> </v>
      </c>
    </row>
    <row r="1243" spans="5:6" hidden="1" x14ac:dyDescent="0.35">
      <c r="E1243" s="96" t="str">
        <f t="shared" si="31"/>
        <v xml:space="preserve"> </v>
      </c>
      <c r="F1243" s="96" t="str">
        <f t="shared" si="31"/>
        <v xml:space="preserve"> </v>
      </c>
    </row>
    <row r="1244" spans="5:6" hidden="1" x14ac:dyDescent="0.35">
      <c r="E1244" s="96" t="str">
        <f t="shared" si="31"/>
        <v xml:space="preserve"> </v>
      </c>
      <c r="F1244" s="96" t="str">
        <f t="shared" si="31"/>
        <v xml:space="preserve"> </v>
      </c>
    </row>
    <row r="1245" spans="5:6" hidden="1" x14ac:dyDescent="0.35">
      <c r="E1245" s="96" t="str">
        <f t="shared" si="31"/>
        <v xml:space="preserve"> </v>
      </c>
      <c r="F1245" s="96" t="str">
        <f t="shared" si="31"/>
        <v xml:space="preserve"> </v>
      </c>
    </row>
    <row r="1246" spans="5:6" hidden="1" x14ac:dyDescent="0.35">
      <c r="E1246" s="96" t="str">
        <f t="shared" si="31"/>
        <v xml:space="preserve"> </v>
      </c>
      <c r="F1246" s="96" t="str">
        <f t="shared" si="31"/>
        <v xml:space="preserve"> </v>
      </c>
    </row>
    <row r="1247" spans="5:6" hidden="1" x14ac:dyDescent="0.35">
      <c r="E1247" s="96" t="str">
        <f t="shared" si="31"/>
        <v xml:space="preserve"> </v>
      </c>
      <c r="F1247" s="96" t="str">
        <f t="shared" si="31"/>
        <v xml:space="preserve"> </v>
      </c>
    </row>
    <row r="1248" spans="5:6" hidden="1" x14ac:dyDescent="0.35">
      <c r="E1248" s="96" t="str">
        <f t="shared" si="31"/>
        <v xml:space="preserve"> </v>
      </c>
      <c r="F1248" s="96" t="str">
        <f t="shared" si="31"/>
        <v xml:space="preserve"> </v>
      </c>
    </row>
    <row r="1249" spans="5:6" hidden="1" x14ac:dyDescent="0.35">
      <c r="E1249" s="96" t="str">
        <f t="shared" si="31"/>
        <v xml:space="preserve"> </v>
      </c>
      <c r="F1249" s="96" t="str">
        <f t="shared" si="31"/>
        <v xml:space="preserve"> </v>
      </c>
    </row>
    <row r="1250" spans="5:6" hidden="1" x14ac:dyDescent="0.35">
      <c r="E1250" s="96" t="str">
        <f t="shared" si="31"/>
        <v xml:space="preserve"> </v>
      </c>
      <c r="F1250" s="96" t="str">
        <f t="shared" si="31"/>
        <v xml:space="preserve"> </v>
      </c>
    </row>
    <row r="1251" spans="5:6" hidden="1" x14ac:dyDescent="0.35">
      <c r="E1251" s="96" t="str">
        <f t="shared" si="31"/>
        <v xml:space="preserve"> </v>
      </c>
      <c r="F1251" s="96" t="str">
        <f t="shared" si="31"/>
        <v xml:space="preserve"> </v>
      </c>
    </row>
    <row r="1252" spans="5:6" hidden="1" x14ac:dyDescent="0.35">
      <c r="E1252" s="96" t="str">
        <f t="shared" si="31"/>
        <v xml:space="preserve"> </v>
      </c>
      <c r="F1252" s="96" t="str">
        <f t="shared" si="31"/>
        <v xml:space="preserve"> </v>
      </c>
    </row>
    <row r="1253" spans="5:6" hidden="1" x14ac:dyDescent="0.35">
      <c r="E1253" s="96" t="str">
        <f t="shared" si="31"/>
        <v xml:space="preserve"> </v>
      </c>
      <c r="F1253" s="96" t="str">
        <f t="shared" si="31"/>
        <v xml:space="preserve"> </v>
      </c>
    </row>
    <row r="1254" spans="5:6" hidden="1" x14ac:dyDescent="0.35">
      <c r="E1254" s="96" t="str">
        <f t="shared" si="31"/>
        <v xml:space="preserve"> </v>
      </c>
      <c r="F1254" s="96" t="str">
        <f t="shared" si="31"/>
        <v xml:space="preserve"> </v>
      </c>
    </row>
    <row r="1255" spans="5:6" hidden="1" x14ac:dyDescent="0.35">
      <c r="E1255" s="96" t="str">
        <f t="shared" si="31"/>
        <v xml:space="preserve"> </v>
      </c>
      <c r="F1255" s="96" t="str">
        <f t="shared" si="31"/>
        <v xml:space="preserve"> </v>
      </c>
    </row>
    <row r="1256" spans="5:6" hidden="1" x14ac:dyDescent="0.35">
      <c r="E1256" s="96" t="str">
        <f t="shared" si="31"/>
        <v xml:space="preserve"> </v>
      </c>
      <c r="F1256" s="96" t="str">
        <f t="shared" si="31"/>
        <v xml:space="preserve"> </v>
      </c>
    </row>
    <row r="1257" spans="5:6" hidden="1" x14ac:dyDescent="0.35">
      <c r="E1257" s="96" t="str">
        <f t="shared" si="31"/>
        <v xml:space="preserve"> </v>
      </c>
      <c r="F1257" s="96" t="str">
        <f t="shared" si="31"/>
        <v xml:space="preserve"> </v>
      </c>
    </row>
    <row r="1258" spans="5:6" hidden="1" x14ac:dyDescent="0.35">
      <c r="E1258" s="96" t="str">
        <f t="shared" si="31"/>
        <v xml:space="preserve"> </v>
      </c>
      <c r="F1258" s="96" t="str">
        <f t="shared" si="31"/>
        <v xml:space="preserve"> </v>
      </c>
    </row>
    <row r="1259" spans="5:6" hidden="1" x14ac:dyDescent="0.35">
      <c r="E1259" s="96" t="str">
        <f t="shared" si="31"/>
        <v xml:space="preserve"> </v>
      </c>
      <c r="F1259" s="96" t="str">
        <f t="shared" si="31"/>
        <v xml:space="preserve"> </v>
      </c>
    </row>
    <row r="1260" spans="5:6" hidden="1" x14ac:dyDescent="0.35">
      <c r="E1260" s="96" t="str">
        <f t="shared" si="31"/>
        <v xml:space="preserve"> </v>
      </c>
      <c r="F1260" s="96" t="str">
        <f t="shared" si="31"/>
        <v xml:space="preserve"> </v>
      </c>
    </row>
    <row r="1261" spans="5:6" hidden="1" x14ac:dyDescent="0.35">
      <c r="E1261" s="96" t="str">
        <f t="shared" si="31"/>
        <v xml:space="preserve"> </v>
      </c>
      <c r="F1261" s="96" t="str">
        <f t="shared" si="31"/>
        <v xml:space="preserve"> </v>
      </c>
    </row>
    <row r="1262" spans="5:6" hidden="1" x14ac:dyDescent="0.35">
      <c r="E1262" s="96" t="str">
        <f t="shared" si="31"/>
        <v xml:space="preserve"> </v>
      </c>
      <c r="F1262" s="96" t="str">
        <f t="shared" si="31"/>
        <v xml:space="preserve"> </v>
      </c>
    </row>
    <row r="1263" spans="5:6" hidden="1" x14ac:dyDescent="0.35">
      <c r="E1263" s="96" t="str">
        <f t="shared" si="31"/>
        <v xml:space="preserve"> </v>
      </c>
      <c r="F1263" s="96" t="str">
        <f t="shared" si="31"/>
        <v xml:space="preserve"> </v>
      </c>
    </row>
    <row r="1264" spans="5:6" hidden="1" x14ac:dyDescent="0.35">
      <c r="E1264" s="96" t="str">
        <f t="shared" si="31"/>
        <v xml:space="preserve"> </v>
      </c>
      <c r="F1264" s="96" t="str">
        <f t="shared" si="31"/>
        <v xml:space="preserve"> </v>
      </c>
    </row>
    <row r="1265" spans="5:6" hidden="1" x14ac:dyDescent="0.35">
      <c r="E1265" s="96" t="str">
        <f t="shared" si="31"/>
        <v xml:space="preserve"> </v>
      </c>
      <c r="F1265" s="96" t="str">
        <f t="shared" si="31"/>
        <v xml:space="preserve"> </v>
      </c>
    </row>
    <row r="1266" spans="5:6" hidden="1" x14ac:dyDescent="0.35">
      <c r="E1266" s="96" t="str">
        <f t="shared" si="31"/>
        <v xml:space="preserve"> </v>
      </c>
      <c r="F1266" s="96" t="str">
        <f t="shared" si="31"/>
        <v xml:space="preserve"> </v>
      </c>
    </row>
    <row r="1267" spans="5:6" hidden="1" x14ac:dyDescent="0.35">
      <c r="E1267" s="96" t="str">
        <f t="shared" si="31"/>
        <v xml:space="preserve"> </v>
      </c>
      <c r="F1267" s="96" t="str">
        <f t="shared" si="31"/>
        <v xml:space="preserve"> </v>
      </c>
    </row>
    <row r="1268" spans="5:6" hidden="1" x14ac:dyDescent="0.35">
      <c r="E1268" s="96" t="str">
        <f t="shared" si="31"/>
        <v xml:space="preserve"> </v>
      </c>
      <c r="F1268" s="96" t="str">
        <f t="shared" si="31"/>
        <v xml:space="preserve"> </v>
      </c>
    </row>
    <row r="1269" spans="5:6" hidden="1" x14ac:dyDescent="0.35">
      <c r="E1269" s="96" t="str">
        <f t="shared" si="31"/>
        <v xml:space="preserve"> </v>
      </c>
      <c r="F1269" s="96" t="str">
        <f t="shared" si="31"/>
        <v xml:space="preserve"> </v>
      </c>
    </row>
    <row r="1270" spans="5:6" hidden="1" x14ac:dyDescent="0.35">
      <c r="E1270" s="96" t="str">
        <f t="shared" si="31"/>
        <v xml:space="preserve"> </v>
      </c>
      <c r="F1270" s="96" t="str">
        <f t="shared" si="31"/>
        <v xml:space="preserve"> </v>
      </c>
    </row>
    <row r="1271" spans="5:6" hidden="1" x14ac:dyDescent="0.35">
      <c r="E1271" s="96" t="str">
        <f t="shared" si="31"/>
        <v xml:space="preserve"> </v>
      </c>
      <c r="F1271" s="96" t="str">
        <f t="shared" si="31"/>
        <v xml:space="preserve"> </v>
      </c>
    </row>
    <row r="1272" spans="5:6" hidden="1" x14ac:dyDescent="0.35">
      <c r="E1272" s="96" t="str">
        <f t="shared" si="31"/>
        <v xml:space="preserve"> </v>
      </c>
      <c r="F1272" s="96" t="str">
        <f t="shared" si="31"/>
        <v xml:space="preserve"> </v>
      </c>
    </row>
    <row r="1273" spans="5:6" hidden="1" x14ac:dyDescent="0.35">
      <c r="E1273" s="96" t="str">
        <f t="shared" si="31"/>
        <v xml:space="preserve"> </v>
      </c>
      <c r="F1273" s="96" t="str">
        <f t="shared" si="31"/>
        <v xml:space="preserve"> </v>
      </c>
    </row>
    <row r="1274" spans="5:6" hidden="1" x14ac:dyDescent="0.35">
      <c r="E1274" s="96" t="str">
        <f t="shared" si="31"/>
        <v xml:space="preserve"> </v>
      </c>
      <c r="F1274" s="96" t="str">
        <f t="shared" si="31"/>
        <v xml:space="preserve"> </v>
      </c>
    </row>
    <row r="1275" spans="5:6" hidden="1" x14ac:dyDescent="0.35">
      <c r="E1275" s="96" t="str">
        <f t="shared" si="31"/>
        <v xml:space="preserve"> </v>
      </c>
      <c r="F1275" s="96" t="str">
        <f t="shared" si="31"/>
        <v xml:space="preserve"> </v>
      </c>
    </row>
    <row r="1276" spans="5:6" hidden="1" x14ac:dyDescent="0.35">
      <c r="E1276" s="96" t="str">
        <f t="shared" si="31"/>
        <v xml:space="preserve"> </v>
      </c>
      <c r="F1276" s="96" t="str">
        <f t="shared" si="31"/>
        <v xml:space="preserve"> </v>
      </c>
    </row>
    <row r="1277" spans="5:6" hidden="1" x14ac:dyDescent="0.35">
      <c r="E1277" s="96" t="str">
        <f t="shared" si="31"/>
        <v xml:space="preserve"> </v>
      </c>
      <c r="F1277" s="96" t="str">
        <f t="shared" si="31"/>
        <v xml:space="preserve"> </v>
      </c>
    </row>
    <row r="1278" spans="5:6" hidden="1" x14ac:dyDescent="0.35">
      <c r="E1278" s="96" t="str">
        <f t="shared" si="31"/>
        <v xml:space="preserve"> </v>
      </c>
      <c r="F1278" s="96" t="str">
        <f t="shared" si="31"/>
        <v xml:space="preserve"> </v>
      </c>
    </row>
    <row r="1279" spans="5:6" hidden="1" x14ac:dyDescent="0.35">
      <c r="E1279" s="96" t="str">
        <f t="shared" si="31"/>
        <v xml:space="preserve"> </v>
      </c>
      <c r="F1279" s="96" t="str">
        <f t="shared" si="31"/>
        <v xml:space="preserve"> </v>
      </c>
    </row>
    <row r="1280" spans="5:6" hidden="1" x14ac:dyDescent="0.35">
      <c r="E1280" s="96" t="str">
        <f t="shared" si="31"/>
        <v xml:space="preserve"> </v>
      </c>
      <c r="F1280" s="96" t="str">
        <f t="shared" si="31"/>
        <v xml:space="preserve"> </v>
      </c>
    </row>
    <row r="1281" spans="5:6" hidden="1" x14ac:dyDescent="0.35">
      <c r="E1281" s="96" t="str">
        <f t="shared" si="31"/>
        <v xml:space="preserve"> </v>
      </c>
      <c r="F1281" s="96" t="str">
        <f t="shared" si="31"/>
        <v xml:space="preserve"> </v>
      </c>
    </row>
    <row r="1282" spans="5:6" hidden="1" x14ac:dyDescent="0.35">
      <c r="E1282" s="96" t="str">
        <f t="shared" si="31"/>
        <v xml:space="preserve"> </v>
      </c>
      <c r="F1282" s="96" t="str">
        <f t="shared" si="31"/>
        <v xml:space="preserve"> </v>
      </c>
    </row>
    <row r="1283" spans="5:6" hidden="1" x14ac:dyDescent="0.35">
      <c r="E1283" s="96" t="str">
        <f t="shared" si="31"/>
        <v xml:space="preserve"> </v>
      </c>
      <c r="F1283" s="96" t="str">
        <f t="shared" si="31"/>
        <v xml:space="preserve"> </v>
      </c>
    </row>
    <row r="1284" spans="5:6" hidden="1" x14ac:dyDescent="0.35">
      <c r="E1284" s="96" t="str">
        <f t="shared" si="31"/>
        <v xml:space="preserve"> </v>
      </c>
      <c r="F1284" s="96" t="str">
        <f t="shared" si="31"/>
        <v xml:space="preserve"> </v>
      </c>
    </row>
    <row r="1285" spans="5:6" hidden="1" x14ac:dyDescent="0.35">
      <c r="E1285" s="96" t="str">
        <f t="shared" si="31"/>
        <v xml:space="preserve"> </v>
      </c>
      <c r="F1285" s="96" t="str">
        <f t="shared" si="31"/>
        <v xml:space="preserve"> </v>
      </c>
    </row>
    <row r="1286" spans="5:6" hidden="1" x14ac:dyDescent="0.35">
      <c r="E1286" s="96" t="str">
        <f t="shared" si="31"/>
        <v xml:space="preserve"> </v>
      </c>
      <c r="F1286" s="96" t="str">
        <f t="shared" si="31"/>
        <v xml:space="preserve"> </v>
      </c>
    </row>
    <row r="1287" spans="5:6" hidden="1" x14ac:dyDescent="0.35">
      <c r="E1287" s="96" t="str">
        <f t="shared" si="31"/>
        <v xml:space="preserve"> </v>
      </c>
      <c r="F1287" s="96" t="str">
        <f t="shared" si="31"/>
        <v xml:space="preserve"> </v>
      </c>
    </row>
    <row r="1288" spans="5:6" hidden="1" x14ac:dyDescent="0.35">
      <c r="E1288" s="96" t="str">
        <f t="shared" si="31"/>
        <v xml:space="preserve"> </v>
      </c>
      <c r="F1288" s="96" t="str">
        <f t="shared" si="31"/>
        <v xml:space="preserve"> </v>
      </c>
    </row>
    <row r="1289" spans="5:6" hidden="1" x14ac:dyDescent="0.35">
      <c r="E1289" s="96" t="str">
        <f t="shared" si="31"/>
        <v xml:space="preserve"> </v>
      </c>
      <c r="F1289" s="96" t="str">
        <f t="shared" si="31"/>
        <v xml:space="preserve"> </v>
      </c>
    </row>
    <row r="1290" spans="5:6" hidden="1" x14ac:dyDescent="0.35">
      <c r="E1290" s="96" t="str">
        <f t="shared" si="31"/>
        <v xml:space="preserve"> </v>
      </c>
      <c r="F1290" s="96" t="str">
        <f t="shared" si="31"/>
        <v xml:space="preserve"> </v>
      </c>
    </row>
    <row r="1291" spans="5:6" hidden="1" x14ac:dyDescent="0.35">
      <c r="E1291" s="96" t="str">
        <f t="shared" si="31"/>
        <v xml:space="preserve"> </v>
      </c>
      <c r="F1291" s="96" t="str">
        <f t="shared" si="31"/>
        <v xml:space="preserve"> </v>
      </c>
    </row>
    <row r="1292" spans="5:6" hidden="1" x14ac:dyDescent="0.35">
      <c r="E1292" s="96" t="str">
        <f t="shared" si="31"/>
        <v xml:space="preserve"> </v>
      </c>
      <c r="F1292" s="96" t="str">
        <f t="shared" si="31"/>
        <v xml:space="preserve"> </v>
      </c>
    </row>
    <row r="1293" spans="5:6" hidden="1" x14ac:dyDescent="0.35">
      <c r="E1293" s="96" t="str">
        <f t="shared" si="31"/>
        <v xml:space="preserve"> </v>
      </c>
      <c r="F1293" s="96" t="str">
        <f t="shared" si="31"/>
        <v xml:space="preserve"> </v>
      </c>
    </row>
    <row r="1294" spans="5:6" hidden="1" x14ac:dyDescent="0.35">
      <c r="E1294" s="96" t="str">
        <f t="shared" si="31"/>
        <v xml:space="preserve"> </v>
      </c>
      <c r="F1294" s="96" t="str">
        <f t="shared" si="31"/>
        <v xml:space="preserve"> </v>
      </c>
    </row>
    <row r="1295" spans="5:6" hidden="1" x14ac:dyDescent="0.35">
      <c r="E1295" s="96" t="str">
        <f t="shared" si="31"/>
        <v xml:space="preserve"> </v>
      </c>
      <c r="F1295" s="96" t="str">
        <f t="shared" si="31"/>
        <v xml:space="preserve"> </v>
      </c>
    </row>
    <row r="1296" spans="5:6" hidden="1" x14ac:dyDescent="0.35">
      <c r="E1296" s="96" t="str">
        <f t="shared" si="31"/>
        <v xml:space="preserve"> </v>
      </c>
      <c r="F1296" s="96" t="str">
        <f t="shared" si="31"/>
        <v xml:space="preserve"> </v>
      </c>
    </row>
    <row r="1297" spans="5:6" hidden="1" x14ac:dyDescent="0.35">
      <c r="E1297" s="96" t="str">
        <f t="shared" si="31"/>
        <v xml:space="preserve"> </v>
      </c>
      <c r="F1297" s="96" t="str">
        <f t="shared" si="31"/>
        <v xml:space="preserve"> </v>
      </c>
    </row>
    <row r="1298" spans="5:6" hidden="1" x14ac:dyDescent="0.35">
      <c r="E1298" s="96" t="str">
        <f t="shared" si="31"/>
        <v xml:space="preserve"> </v>
      </c>
      <c r="F1298" s="96" t="str">
        <f t="shared" si="31"/>
        <v xml:space="preserve"> </v>
      </c>
    </row>
    <row r="1299" spans="5:6" hidden="1" x14ac:dyDescent="0.35">
      <c r="E1299" s="96" t="str">
        <f t="shared" si="31"/>
        <v xml:space="preserve"> </v>
      </c>
      <c r="F1299" s="96" t="str">
        <f t="shared" si="31"/>
        <v xml:space="preserve"> </v>
      </c>
    </row>
    <row r="1300" spans="5:6" hidden="1" x14ac:dyDescent="0.35">
      <c r="E1300" s="96" t="str">
        <f t="shared" si="31"/>
        <v xml:space="preserve"> </v>
      </c>
      <c r="F1300" s="96" t="str">
        <f t="shared" si="31"/>
        <v xml:space="preserve"> </v>
      </c>
    </row>
    <row r="1301" spans="5:6" hidden="1" x14ac:dyDescent="0.35">
      <c r="E1301" s="96" t="str">
        <f t="shared" si="31"/>
        <v xml:space="preserve"> </v>
      </c>
      <c r="F1301" s="96" t="str">
        <f t="shared" si="31"/>
        <v xml:space="preserve"> </v>
      </c>
    </row>
    <row r="1302" spans="5:6" hidden="1" x14ac:dyDescent="0.35">
      <c r="E1302" s="96" t="str">
        <f t="shared" si="31"/>
        <v xml:space="preserve"> </v>
      </c>
      <c r="F1302" s="96" t="str">
        <f t="shared" si="31"/>
        <v xml:space="preserve"> </v>
      </c>
    </row>
    <row r="1303" spans="5:6" hidden="1" x14ac:dyDescent="0.35">
      <c r="E1303" s="96" t="str">
        <f t="shared" ref="E1303:F1366" si="32">IF((IFERROR(C1303/C1302-1," "))=-1," ",IFERROR(C1303/C1302-1," "))</f>
        <v xml:space="preserve"> </v>
      </c>
      <c r="F1303" s="96" t="str">
        <f t="shared" si="32"/>
        <v xml:space="preserve"> </v>
      </c>
    </row>
    <row r="1304" spans="5:6" hidden="1" x14ac:dyDescent="0.35">
      <c r="E1304" s="96" t="str">
        <f t="shared" si="32"/>
        <v xml:space="preserve"> </v>
      </c>
      <c r="F1304" s="96" t="str">
        <f t="shared" si="32"/>
        <v xml:space="preserve"> </v>
      </c>
    </row>
    <row r="1305" spans="5:6" hidden="1" x14ac:dyDescent="0.35">
      <c r="E1305" s="96" t="str">
        <f t="shared" si="32"/>
        <v xml:space="preserve"> </v>
      </c>
      <c r="F1305" s="96" t="str">
        <f t="shared" si="32"/>
        <v xml:space="preserve"> </v>
      </c>
    </row>
    <row r="1306" spans="5:6" hidden="1" x14ac:dyDescent="0.35">
      <c r="E1306" s="96" t="str">
        <f t="shared" si="32"/>
        <v xml:space="preserve"> </v>
      </c>
      <c r="F1306" s="96" t="str">
        <f t="shared" si="32"/>
        <v xml:space="preserve"> </v>
      </c>
    </row>
    <row r="1307" spans="5:6" hidden="1" x14ac:dyDescent="0.35">
      <c r="E1307" s="96" t="str">
        <f t="shared" si="32"/>
        <v xml:space="preserve"> </v>
      </c>
      <c r="F1307" s="96" t="str">
        <f t="shared" si="32"/>
        <v xml:space="preserve"> </v>
      </c>
    </row>
    <row r="1308" spans="5:6" hidden="1" x14ac:dyDescent="0.35">
      <c r="E1308" s="96" t="str">
        <f t="shared" si="32"/>
        <v xml:space="preserve"> </v>
      </c>
      <c r="F1308" s="96" t="str">
        <f t="shared" si="32"/>
        <v xml:space="preserve"> </v>
      </c>
    </row>
    <row r="1309" spans="5:6" hidden="1" x14ac:dyDescent="0.35">
      <c r="E1309" s="96" t="str">
        <f t="shared" si="32"/>
        <v xml:space="preserve"> </v>
      </c>
      <c r="F1309" s="96" t="str">
        <f t="shared" si="32"/>
        <v xml:space="preserve"> </v>
      </c>
    </row>
    <row r="1310" spans="5:6" hidden="1" x14ac:dyDescent="0.35">
      <c r="E1310" s="96" t="str">
        <f t="shared" si="32"/>
        <v xml:space="preserve"> </v>
      </c>
      <c r="F1310" s="96" t="str">
        <f t="shared" si="32"/>
        <v xml:space="preserve"> </v>
      </c>
    </row>
    <row r="1311" spans="5:6" hidden="1" x14ac:dyDescent="0.35">
      <c r="E1311" s="96" t="str">
        <f t="shared" si="32"/>
        <v xml:space="preserve"> </v>
      </c>
      <c r="F1311" s="96" t="str">
        <f t="shared" si="32"/>
        <v xml:space="preserve"> </v>
      </c>
    </row>
    <row r="1312" spans="5:6" hidden="1" x14ac:dyDescent="0.35">
      <c r="E1312" s="96" t="str">
        <f t="shared" si="32"/>
        <v xml:space="preserve"> </v>
      </c>
      <c r="F1312" s="96" t="str">
        <f t="shared" si="32"/>
        <v xml:space="preserve"> </v>
      </c>
    </row>
    <row r="1313" spans="5:6" hidden="1" x14ac:dyDescent="0.35">
      <c r="E1313" s="96" t="str">
        <f t="shared" si="32"/>
        <v xml:space="preserve"> </v>
      </c>
      <c r="F1313" s="96" t="str">
        <f t="shared" si="32"/>
        <v xml:space="preserve"> </v>
      </c>
    </row>
    <row r="1314" spans="5:6" hidden="1" x14ac:dyDescent="0.35">
      <c r="E1314" s="96" t="str">
        <f t="shared" si="32"/>
        <v xml:space="preserve"> </v>
      </c>
      <c r="F1314" s="96" t="str">
        <f t="shared" si="32"/>
        <v xml:space="preserve"> </v>
      </c>
    </row>
    <row r="1315" spans="5:6" hidden="1" x14ac:dyDescent="0.35">
      <c r="E1315" s="96" t="str">
        <f t="shared" si="32"/>
        <v xml:space="preserve"> </v>
      </c>
      <c r="F1315" s="96" t="str">
        <f t="shared" si="32"/>
        <v xml:space="preserve"> </v>
      </c>
    </row>
    <row r="1316" spans="5:6" hidden="1" x14ac:dyDescent="0.35">
      <c r="E1316" s="96" t="str">
        <f t="shared" si="32"/>
        <v xml:space="preserve"> </v>
      </c>
      <c r="F1316" s="96" t="str">
        <f t="shared" si="32"/>
        <v xml:space="preserve"> </v>
      </c>
    </row>
    <row r="1317" spans="5:6" hidden="1" x14ac:dyDescent="0.35">
      <c r="E1317" s="96" t="str">
        <f t="shared" si="32"/>
        <v xml:space="preserve"> </v>
      </c>
      <c r="F1317" s="96" t="str">
        <f t="shared" si="32"/>
        <v xml:space="preserve"> </v>
      </c>
    </row>
    <row r="1318" spans="5:6" hidden="1" x14ac:dyDescent="0.35">
      <c r="E1318" s="96" t="str">
        <f t="shared" si="32"/>
        <v xml:space="preserve"> </v>
      </c>
      <c r="F1318" s="96" t="str">
        <f t="shared" si="32"/>
        <v xml:space="preserve"> </v>
      </c>
    </row>
    <row r="1319" spans="5:6" hidden="1" x14ac:dyDescent="0.35">
      <c r="E1319" s="96" t="str">
        <f t="shared" si="32"/>
        <v xml:space="preserve"> </v>
      </c>
      <c r="F1319" s="96" t="str">
        <f t="shared" si="32"/>
        <v xml:space="preserve"> </v>
      </c>
    </row>
    <row r="1320" spans="5:6" hidden="1" x14ac:dyDescent="0.35">
      <c r="E1320" s="96" t="str">
        <f t="shared" si="32"/>
        <v xml:space="preserve"> </v>
      </c>
      <c r="F1320" s="96" t="str">
        <f t="shared" si="32"/>
        <v xml:space="preserve"> </v>
      </c>
    </row>
    <row r="1321" spans="5:6" hidden="1" x14ac:dyDescent="0.35">
      <c r="E1321" s="96" t="str">
        <f t="shared" si="32"/>
        <v xml:space="preserve"> </v>
      </c>
      <c r="F1321" s="96" t="str">
        <f t="shared" si="32"/>
        <v xml:space="preserve"> </v>
      </c>
    </row>
    <row r="1322" spans="5:6" hidden="1" x14ac:dyDescent="0.35">
      <c r="E1322" s="96" t="str">
        <f t="shared" si="32"/>
        <v xml:space="preserve"> </v>
      </c>
      <c r="F1322" s="96" t="str">
        <f t="shared" si="32"/>
        <v xml:space="preserve"> </v>
      </c>
    </row>
    <row r="1323" spans="5:6" hidden="1" x14ac:dyDescent="0.35">
      <c r="E1323" s="96" t="str">
        <f t="shared" si="32"/>
        <v xml:space="preserve"> </v>
      </c>
      <c r="F1323" s="96" t="str">
        <f t="shared" si="32"/>
        <v xml:space="preserve"> </v>
      </c>
    </row>
    <row r="1324" spans="5:6" hidden="1" x14ac:dyDescent="0.35">
      <c r="E1324" s="96" t="str">
        <f t="shared" si="32"/>
        <v xml:space="preserve"> </v>
      </c>
      <c r="F1324" s="96" t="str">
        <f t="shared" si="32"/>
        <v xml:space="preserve"> </v>
      </c>
    </row>
    <row r="1325" spans="5:6" hidden="1" x14ac:dyDescent="0.35">
      <c r="E1325" s="96" t="str">
        <f t="shared" si="32"/>
        <v xml:space="preserve"> </v>
      </c>
      <c r="F1325" s="96" t="str">
        <f t="shared" si="32"/>
        <v xml:space="preserve"> </v>
      </c>
    </row>
    <row r="1326" spans="5:6" hidden="1" x14ac:dyDescent="0.35">
      <c r="E1326" s="96" t="str">
        <f t="shared" si="32"/>
        <v xml:space="preserve"> </v>
      </c>
      <c r="F1326" s="96" t="str">
        <f t="shared" si="32"/>
        <v xml:space="preserve"> </v>
      </c>
    </row>
    <row r="1327" spans="5:6" hidden="1" x14ac:dyDescent="0.35">
      <c r="E1327" s="96" t="str">
        <f t="shared" si="32"/>
        <v xml:space="preserve"> </v>
      </c>
      <c r="F1327" s="96" t="str">
        <f t="shared" si="32"/>
        <v xml:space="preserve"> </v>
      </c>
    </row>
    <row r="1328" spans="5:6" hidden="1" x14ac:dyDescent="0.35">
      <c r="E1328" s="96" t="str">
        <f t="shared" si="32"/>
        <v xml:space="preserve"> </v>
      </c>
      <c r="F1328" s="96" t="str">
        <f t="shared" si="32"/>
        <v xml:space="preserve"> </v>
      </c>
    </row>
    <row r="1329" spans="5:6" hidden="1" x14ac:dyDescent="0.35">
      <c r="E1329" s="96" t="str">
        <f t="shared" si="32"/>
        <v xml:space="preserve"> </v>
      </c>
      <c r="F1329" s="96" t="str">
        <f t="shared" si="32"/>
        <v xml:space="preserve"> </v>
      </c>
    </row>
    <row r="1330" spans="5:6" hidden="1" x14ac:dyDescent="0.35">
      <c r="E1330" s="96" t="str">
        <f t="shared" si="32"/>
        <v xml:space="preserve"> </v>
      </c>
      <c r="F1330" s="96" t="str">
        <f t="shared" si="32"/>
        <v xml:space="preserve"> </v>
      </c>
    </row>
    <row r="1331" spans="5:6" hidden="1" x14ac:dyDescent="0.35">
      <c r="E1331" s="96" t="str">
        <f t="shared" si="32"/>
        <v xml:space="preserve"> </v>
      </c>
      <c r="F1331" s="96" t="str">
        <f t="shared" si="32"/>
        <v xml:space="preserve"> </v>
      </c>
    </row>
    <row r="1332" spans="5:6" hidden="1" x14ac:dyDescent="0.35">
      <c r="E1332" s="96" t="str">
        <f t="shared" si="32"/>
        <v xml:space="preserve"> </v>
      </c>
      <c r="F1332" s="96" t="str">
        <f t="shared" si="32"/>
        <v xml:space="preserve"> </v>
      </c>
    </row>
    <row r="1333" spans="5:6" hidden="1" x14ac:dyDescent="0.35">
      <c r="E1333" s="96" t="str">
        <f t="shared" si="32"/>
        <v xml:space="preserve"> </v>
      </c>
      <c r="F1333" s="96" t="str">
        <f t="shared" si="32"/>
        <v xml:space="preserve"> </v>
      </c>
    </row>
    <row r="1334" spans="5:6" hidden="1" x14ac:dyDescent="0.35">
      <c r="E1334" s="96" t="str">
        <f t="shared" si="32"/>
        <v xml:space="preserve"> </v>
      </c>
      <c r="F1334" s="96" t="str">
        <f t="shared" si="32"/>
        <v xml:space="preserve"> </v>
      </c>
    </row>
    <row r="1335" spans="5:6" hidden="1" x14ac:dyDescent="0.35">
      <c r="E1335" s="96" t="str">
        <f t="shared" si="32"/>
        <v xml:space="preserve"> </v>
      </c>
      <c r="F1335" s="96" t="str">
        <f t="shared" si="32"/>
        <v xml:space="preserve"> </v>
      </c>
    </row>
    <row r="1336" spans="5:6" hidden="1" x14ac:dyDescent="0.35">
      <c r="E1336" s="96" t="str">
        <f t="shared" si="32"/>
        <v xml:space="preserve"> </v>
      </c>
      <c r="F1336" s="96" t="str">
        <f t="shared" si="32"/>
        <v xml:space="preserve"> </v>
      </c>
    </row>
    <row r="1337" spans="5:6" hidden="1" x14ac:dyDescent="0.35">
      <c r="E1337" s="96" t="str">
        <f t="shared" si="32"/>
        <v xml:space="preserve"> </v>
      </c>
      <c r="F1337" s="96" t="str">
        <f t="shared" si="32"/>
        <v xml:space="preserve"> </v>
      </c>
    </row>
    <row r="1338" spans="5:6" hidden="1" x14ac:dyDescent="0.35">
      <c r="E1338" s="96" t="str">
        <f t="shared" si="32"/>
        <v xml:space="preserve"> </v>
      </c>
      <c r="F1338" s="96" t="str">
        <f t="shared" si="32"/>
        <v xml:space="preserve"> </v>
      </c>
    </row>
    <row r="1339" spans="5:6" hidden="1" x14ac:dyDescent="0.35">
      <c r="E1339" s="96" t="str">
        <f t="shared" si="32"/>
        <v xml:space="preserve"> </v>
      </c>
      <c r="F1339" s="96" t="str">
        <f t="shared" si="32"/>
        <v xml:space="preserve"> </v>
      </c>
    </row>
    <row r="1340" spans="5:6" hidden="1" x14ac:dyDescent="0.35">
      <c r="E1340" s="96" t="str">
        <f t="shared" si="32"/>
        <v xml:space="preserve"> </v>
      </c>
      <c r="F1340" s="96" t="str">
        <f t="shared" si="32"/>
        <v xml:space="preserve"> </v>
      </c>
    </row>
    <row r="1341" spans="5:6" hidden="1" x14ac:dyDescent="0.35">
      <c r="E1341" s="96" t="str">
        <f t="shared" si="32"/>
        <v xml:space="preserve"> </v>
      </c>
      <c r="F1341" s="96" t="str">
        <f t="shared" si="32"/>
        <v xml:space="preserve"> </v>
      </c>
    </row>
    <row r="1342" spans="5:6" hidden="1" x14ac:dyDescent="0.35">
      <c r="E1342" s="96" t="str">
        <f t="shared" si="32"/>
        <v xml:space="preserve"> </v>
      </c>
      <c r="F1342" s="96" t="str">
        <f t="shared" si="32"/>
        <v xml:space="preserve"> </v>
      </c>
    </row>
    <row r="1343" spans="5:6" hidden="1" x14ac:dyDescent="0.35">
      <c r="E1343" s="96" t="str">
        <f t="shared" si="32"/>
        <v xml:space="preserve"> </v>
      </c>
      <c r="F1343" s="96" t="str">
        <f t="shared" si="32"/>
        <v xml:space="preserve"> </v>
      </c>
    </row>
    <row r="1344" spans="5:6" hidden="1" x14ac:dyDescent="0.35">
      <c r="E1344" s="96" t="str">
        <f t="shared" si="32"/>
        <v xml:space="preserve"> </v>
      </c>
      <c r="F1344" s="96" t="str">
        <f t="shared" si="32"/>
        <v xml:space="preserve"> </v>
      </c>
    </row>
    <row r="1345" spans="5:6" hidden="1" x14ac:dyDescent="0.35">
      <c r="E1345" s="96" t="str">
        <f t="shared" si="32"/>
        <v xml:space="preserve"> </v>
      </c>
      <c r="F1345" s="96" t="str">
        <f t="shared" si="32"/>
        <v xml:space="preserve"> </v>
      </c>
    </row>
    <row r="1346" spans="5:6" hidden="1" x14ac:dyDescent="0.35">
      <c r="E1346" s="96" t="str">
        <f t="shared" si="32"/>
        <v xml:space="preserve"> </v>
      </c>
      <c r="F1346" s="96" t="str">
        <f t="shared" si="32"/>
        <v xml:space="preserve"> </v>
      </c>
    </row>
    <row r="1347" spans="5:6" hidden="1" x14ac:dyDescent="0.35">
      <c r="E1347" s="96" t="str">
        <f t="shared" si="32"/>
        <v xml:space="preserve"> </v>
      </c>
      <c r="F1347" s="96" t="str">
        <f t="shared" si="32"/>
        <v xml:space="preserve"> </v>
      </c>
    </row>
    <row r="1348" spans="5:6" hidden="1" x14ac:dyDescent="0.35">
      <c r="E1348" s="96" t="str">
        <f t="shared" si="32"/>
        <v xml:space="preserve"> </v>
      </c>
      <c r="F1348" s="96" t="str">
        <f t="shared" si="32"/>
        <v xml:space="preserve"> </v>
      </c>
    </row>
    <row r="1349" spans="5:6" hidden="1" x14ac:dyDescent="0.35">
      <c r="E1349" s="96" t="str">
        <f t="shared" si="32"/>
        <v xml:space="preserve"> </v>
      </c>
      <c r="F1349" s="96" t="str">
        <f t="shared" si="32"/>
        <v xml:space="preserve"> </v>
      </c>
    </row>
    <row r="1350" spans="5:6" hidden="1" x14ac:dyDescent="0.35">
      <c r="E1350" s="96" t="str">
        <f t="shared" si="32"/>
        <v xml:space="preserve"> </v>
      </c>
      <c r="F1350" s="96" t="str">
        <f t="shared" si="32"/>
        <v xml:space="preserve"> </v>
      </c>
    </row>
    <row r="1351" spans="5:6" hidden="1" x14ac:dyDescent="0.35">
      <c r="E1351" s="96" t="str">
        <f t="shared" si="32"/>
        <v xml:space="preserve"> </v>
      </c>
      <c r="F1351" s="96" t="str">
        <f t="shared" si="32"/>
        <v xml:space="preserve"> </v>
      </c>
    </row>
    <row r="1352" spans="5:6" hidden="1" x14ac:dyDescent="0.35">
      <c r="E1352" s="96" t="str">
        <f t="shared" si="32"/>
        <v xml:space="preserve"> </v>
      </c>
      <c r="F1352" s="96" t="str">
        <f t="shared" si="32"/>
        <v xml:space="preserve"> </v>
      </c>
    </row>
    <row r="1353" spans="5:6" hidden="1" x14ac:dyDescent="0.35">
      <c r="E1353" s="96" t="str">
        <f t="shared" si="32"/>
        <v xml:space="preserve"> </v>
      </c>
      <c r="F1353" s="96" t="str">
        <f t="shared" si="32"/>
        <v xml:space="preserve"> </v>
      </c>
    </row>
    <row r="1354" spans="5:6" hidden="1" x14ac:dyDescent="0.35">
      <c r="E1354" s="96" t="str">
        <f t="shared" si="32"/>
        <v xml:space="preserve"> </v>
      </c>
      <c r="F1354" s="96" t="str">
        <f t="shared" si="32"/>
        <v xml:space="preserve"> </v>
      </c>
    </row>
    <row r="1355" spans="5:6" hidden="1" x14ac:dyDescent="0.35">
      <c r="E1355" s="96" t="str">
        <f t="shared" si="32"/>
        <v xml:space="preserve"> </v>
      </c>
      <c r="F1355" s="96" t="str">
        <f t="shared" si="32"/>
        <v xml:space="preserve"> </v>
      </c>
    </row>
    <row r="1356" spans="5:6" hidden="1" x14ac:dyDescent="0.35">
      <c r="E1356" s="96" t="str">
        <f t="shared" si="32"/>
        <v xml:space="preserve"> </v>
      </c>
      <c r="F1356" s="96" t="str">
        <f t="shared" si="32"/>
        <v xml:space="preserve"> </v>
      </c>
    </row>
    <row r="1357" spans="5:6" hidden="1" x14ac:dyDescent="0.35">
      <c r="E1357" s="96" t="str">
        <f t="shared" si="32"/>
        <v xml:space="preserve"> </v>
      </c>
      <c r="F1357" s="96" t="str">
        <f t="shared" si="32"/>
        <v xml:space="preserve"> </v>
      </c>
    </row>
    <row r="1358" spans="5:6" hidden="1" x14ac:dyDescent="0.35">
      <c r="E1358" s="96" t="str">
        <f t="shared" si="32"/>
        <v xml:space="preserve"> </v>
      </c>
      <c r="F1358" s="96" t="str">
        <f t="shared" si="32"/>
        <v xml:space="preserve"> </v>
      </c>
    </row>
    <row r="1359" spans="5:6" hidden="1" x14ac:dyDescent="0.35">
      <c r="E1359" s="96" t="str">
        <f t="shared" si="32"/>
        <v xml:space="preserve"> </v>
      </c>
      <c r="F1359" s="96" t="str">
        <f t="shared" si="32"/>
        <v xml:space="preserve"> </v>
      </c>
    </row>
    <row r="1360" spans="5:6" hidden="1" x14ac:dyDescent="0.35">
      <c r="E1360" s="96" t="str">
        <f t="shared" si="32"/>
        <v xml:space="preserve"> </v>
      </c>
      <c r="F1360" s="96" t="str">
        <f t="shared" si="32"/>
        <v xml:space="preserve"> </v>
      </c>
    </row>
    <row r="1361" spans="5:6" hidden="1" x14ac:dyDescent="0.35">
      <c r="E1361" s="96" t="str">
        <f t="shared" si="32"/>
        <v xml:space="preserve"> </v>
      </c>
      <c r="F1361" s="96" t="str">
        <f t="shared" si="32"/>
        <v xml:space="preserve"> </v>
      </c>
    </row>
    <row r="1362" spans="5:6" hidden="1" x14ac:dyDescent="0.35">
      <c r="E1362" s="96" t="str">
        <f t="shared" si="32"/>
        <v xml:space="preserve"> </v>
      </c>
      <c r="F1362" s="96" t="str">
        <f t="shared" si="32"/>
        <v xml:space="preserve"> </v>
      </c>
    </row>
    <row r="1363" spans="5:6" hidden="1" x14ac:dyDescent="0.35">
      <c r="E1363" s="96" t="str">
        <f t="shared" si="32"/>
        <v xml:space="preserve"> </v>
      </c>
      <c r="F1363" s="96" t="str">
        <f t="shared" si="32"/>
        <v xml:space="preserve"> </v>
      </c>
    </row>
    <row r="1364" spans="5:6" hidden="1" x14ac:dyDescent="0.35">
      <c r="E1364" s="96" t="str">
        <f t="shared" si="32"/>
        <v xml:space="preserve"> </v>
      </c>
      <c r="F1364" s="96" t="str">
        <f t="shared" si="32"/>
        <v xml:space="preserve"> </v>
      </c>
    </row>
    <row r="1365" spans="5:6" hidden="1" x14ac:dyDescent="0.35">
      <c r="E1365" s="96" t="str">
        <f t="shared" si="32"/>
        <v xml:space="preserve"> </v>
      </c>
      <c r="F1365" s="96" t="str">
        <f t="shared" si="32"/>
        <v xml:space="preserve"> </v>
      </c>
    </row>
    <row r="1366" spans="5:6" hidden="1" x14ac:dyDescent="0.35">
      <c r="E1366" s="96" t="str">
        <f t="shared" si="32"/>
        <v xml:space="preserve"> </v>
      </c>
      <c r="F1366" s="96" t="str">
        <f t="shared" si="32"/>
        <v xml:space="preserve"> </v>
      </c>
    </row>
    <row r="1367" spans="5:6" hidden="1" x14ac:dyDescent="0.35">
      <c r="E1367" s="96" t="str">
        <f t="shared" ref="E1367:F1430" si="33">IF((IFERROR(C1367/C1366-1," "))=-1," ",IFERROR(C1367/C1366-1," "))</f>
        <v xml:space="preserve"> </v>
      </c>
      <c r="F1367" s="96" t="str">
        <f t="shared" si="33"/>
        <v xml:space="preserve"> </v>
      </c>
    </row>
    <row r="1368" spans="5:6" hidden="1" x14ac:dyDescent="0.35">
      <c r="E1368" s="96" t="str">
        <f t="shared" si="33"/>
        <v xml:space="preserve"> </v>
      </c>
      <c r="F1368" s="96" t="str">
        <f t="shared" si="33"/>
        <v xml:space="preserve"> </v>
      </c>
    </row>
    <row r="1369" spans="5:6" hidden="1" x14ac:dyDescent="0.35">
      <c r="E1369" s="96" t="str">
        <f t="shared" si="33"/>
        <v xml:space="preserve"> </v>
      </c>
      <c r="F1369" s="96" t="str">
        <f t="shared" si="33"/>
        <v xml:space="preserve"> </v>
      </c>
    </row>
    <row r="1370" spans="5:6" hidden="1" x14ac:dyDescent="0.35">
      <c r="E1370" s="96" t="str">
        <f t="shared" si="33"/>
        <v xml:space="preserve"> </v>
      </c>
      <c r="F1370" s="96" t="str">
        <f t="shared" si="33"/>
        <v xml:space="preserve"> </v>
      </c>
    </row>
    <row r="1371" spans="5:6" hidden="1" x14ac:dyDescent="0.35">
      <c r="E1371" s="96" t="str">
        <f t="shared" si="33"/>
        <v xml:space="preserve"> </v>
      </c>
      <c r="F1371" s="96" t="str">
        <f t="shared" si="33"/>
        <v xml:space="preserve"> </v>
      </c>
    </row>
    <row r="1372" spans="5:6" hidden="1" x14ac:dyDescent="0.35">
      <c r="E1372" s="96" t="str">
        <f t="shared" si="33"/>
        <v xml:space="preserve"> </v>
      </c>
      <c r="F1372" s="96" t="str">
        <f t="shared" si="33"/>
        <v xml:space="preserve"> </v>
      </c>
    </row>
    <row r="1373" spans="5:6" hidden="1" x14ac:dyDescent="0.35">
      <c r="E1373" s="96" t="str">
        <f t="shared" si="33"/>
        <v xml:space="preserve"> </v>
      </c>
      <c r="F1373" s="96" t="str">
        <f t="shared" si="33"/>
        <v xml:space="preserve"> </v>
      </c>
    </row>
    <row r="1374" spans="5:6" hidden="1" x14ac:dyDescent="0.35">
      <c r="E1374" s="96" t="str">
        <f t="shared" si="33"/>
        <v xml:space="preserve"> </v>
      </c>
      <c r="F1374" s="96" t="str">
        <f t="shared" si="33"/>
        <v xml:space="preserve"> </v>
      </c>
    </row>
    <row r="1375" spans="5:6" hidden="1" x14ac:dyDescent="0.35">
      <c r="E1375" s="96" t="str">
        <f t="shared" si="33"/>
        <v xml:space="preserve"> </v>
      </c>
      <c r="F1375" s="96" t="str">
        <f t="shared" si="33"/>
        <v xml:space="preserve"> </v>
      </c>
    </row>
    <row r="1376" spans="5:6" hidden="1" x14ac:dyDescent="0.35">
      <c r="E1376" s="96" t="str">
        <f t="shared" si="33"/>
        <v xml:space="preserve"> </v>
      </c>
      <c r="F1376" s="96" t="str">
        <f t="shared" si="33"/>
        <v xml:space="preserve"> </v>
      </c>
    </row>
    <row r="1377" spans="5:6" hidden="1" x14ac:dyDescent="0.35">
      <c r="E1377" s="96" t="str">
        <f t="shared" si="33"/>
        <v xml:space="preserve"> </v>
      </c>
      <c r="F1377" s="96" t="str">
        <f t="shared" si="33"/>
        <v xml:space="preserve"> </v>
      </c>
    </row>
    <row r="1378" spans="5:6" hidden="1" x14ac:dyDescent="0.35">
      <c r="E1378" s="96" t="str">
        <f t="shared" si="33"/>
        <v xml:space="preserve"> </v>
      </c>
      <c r="F1378" s="96" t="str">
        <f t="shared" si="33"/>
        <v xml:space="preserve"> </v>
      </c>
    </row>
    <row r="1379" spans="5:6" hidden="1" x14ac:dyDescent="0.35">
      <c r="E1379" s="96" t="str">
        <f t="shared" si="33"/>
        <v xml:space="preserve"> </v>
      </c>
      <c r="F1379" s="96" t="str">
        <f t="shared" si="33"/>
        <v xml:space="preserve"> </v>
      </c>
    </row>
    <row r="1380" spans="5:6" hidden="1" x14ac:dyDescent="0.35">
      <c r="E1380" s="96" t="str">
        <f t="shared" si="33"/>
        <v xml:space="preserve"> </v>
      </c>
      <c r="F1380" s="96" t="str">
        <f t="shared" si="33"/>
        <v xml:space="preserve"> </v>
      </c>
    </row>
    <row r="1381" spans="5:6" hidden="1" x14ac:dyDescent="0.35">
      <c r="E1381" s="96" t="str">
        <f t="shared" si="33"/>
        <v xml:space="preserve"> </v>
      </c>
      <c r="F1381" s="96" t="str">
        <f t="shared" si="33"/>
        <v xml:space="preserve"> </v>
      </c>
    </row>
    <row r="1382" spans="5:6" hidden="1" x14ac:dyDescent="0.35">
      <c r="E1382" s="96" t="str">
        <f t="shared" si="33"/>
        <v xml:space="preserve"> </v>
      </c>
      <c r="F1382" s="96" t="str">
        <f t="shared" si="33"/>
        <v xml:space="preserve"> </v>
      </c>
    </row>
    <row r="1383" spans="5:6" hidden="1" x14ac:dyDescent="0.35">
      <c r="E1383" s="96" t="str">
        <f t="shared" si="33"/>
        <v xml:space="preserve"> </v>
      </c>
      <c r="F1383" s="96" t="str">
        <f t="shared" si="33"/>
        <v xml:space="preserve"> </v>
      </c>
    </row>
    <row r="1384" spans="5:6" hidden="1" x14ac:dyDescent="0.35">
      <c r="E1384" s="96" t="str">
        <f t="shared" si="33"/>
        <v xml:space="preserve"> </v>
      </c>
      <c r="F1384" s="96" t="str">
        <f t="shared" si="33"/>
        <v xml:space="preserve"> </v>
      </c>
    </row>
    <row r="1385" spans="5:6" hidden="1" x14ac:dyDescent="0.35">
      <c r="E1385" s="96" t="str">
        <f t="shared" si="33"/>
        <v xml:space="preserve"> </v>
      </c>
      <c r="F1385" s="96" t="str">
        <f t="shared" si="33"/>
        <v xml:space="preserve"> </v>
      </c>
    </row>
    <row r="1386" spans="5:6" hidden="1" x14ac:dyDescent="0.35">
      <c r="E1386" s="96" t="str">
        <f t="shared" si="33"/>
        <v xml:space="preserve"> </v>
      </c>
      <c r="F1386" s="96" t="str">
        <f t="shared" si="33"/>
        <v xml:space="preserve"> </v>
      </c>
    </row>
    <row r="1387" spans="5:6" hidden="1" x14ac:dyDescent="0.35">
      <c r="E1387" s="96" t="str">
        <f t="shared" si="33"/>
        <v xml:space="preserve"> </v>
      </c>
      <c r="F1387" s="96" t="str">
        <f t="shared" si="33"/>
        <v xml:space="preserve"> </v>
      </c>
    </row>
    <row r="1388" spans="5:6" hidden="1" x14ac:dyDescent="0.35">
      <c r="E1388" s="96" t="str">
        <f t="shared" si="33"/>
        <v xml:space="preserve"> </v>
      </c>
      <c r="F1388" s="96" t="str">
        <f t="shared" si="33"/>
        <v xml:space="preserve"> </v>
      </c>
    </row>
    <row r="1389" spans="5:6" hidden="1" x14ac:dyDescent="0.35">
      <c r="E1389" s="96" t="str">
        <f t="shared" si="33"/>
        <v xml:space="preserve"> </v>
      </c>
      <c r="F1389" s="96" t="str">
        <f t="shared" si="33"/>
        <v xml:space="preserve"> </v>
      </c>
    </row>
    <row r="1390" spans="5:6" hidden="1" x14ac:dyDescent="0.35">
      <c r="E1390" s="96" t="str">
        <f t="shared" si="33"/>
        <v xml:space="preserve"> </v>
      </c>
      <c r="F1390" s="96" t="str">
        <f t="shared" si="33"/>
        <v xml:space="preserve"> </v>
      </c>
    </row>
    <row r="1391" spans="5:6" hidden="1" x14ac:dyDescent="0.35">
      <c r="E1391" s="96" t="str">
        <f t="shared" si="33"/>
        <v xml:space="preserve"> </v>
      </c>
      <c r="F1391" s="96" t="str">
        <f t="shared" si="33"/>
        <v xml:space="preserve"> </v>
      </c>
    </row>
    <row r="1392" spans="5:6" hidden="1" x14ac:dyDescent="0.35">
      <c r="E1392" s="96" t="str">
        <f t="shared" si="33"/>
        <v xml:space="preserve"> </v>
      </c>
      <c r="F1392" s="96" t="str">
        <f t="shared" si="33"/>
        <v xml:space="preserve"> </v>
      </c>
    </row>
    <row r="1393" spans="5:6" hidden="1" x14ac:dyDescent="0.35">
      <c r="E1393" s="96" t="str">
        <f t="shared" si="33"/>
        <v xml:space="preserve"> </v>
      </c>
      <c r="F1393" s="96" t="str">
        <f t="shared" si="33"/>
        <v xml:space="preserve"> </v>
      </c>
    </row>
    <row r="1394" spans="5:6" hidden="1" x14ac:dyDescent="0.35">
      <c r="E1394" s="96" t="str">
        <f t="shared" si="33"/>
        <v xml:space="preserve"> </v>
      </c>
      <c r="F1394" s="96" t="str">
        <f t="shared" si="33"/>
        <v xml:space="preserve"> </v>
      </c>
    </row>
    <row r="1395" spans="5:6" hidden="1" x14ac:dyDescent="0.35">
      <c r="E1395" s="96" t="str">
        <f t="shared" si="33"/>
        <v xml:space="preserve"> </v>
      </c>
      <c r="F1395" s="96" t="str">
        <f t="shared" si="33"/>
        <v xml:space="preserve"> </v>
      </c>
    </row>
    <row r="1396" spans="5:6" hidden="1" x14ac:dyDescent="0.35">
      <c r="E1396" s="96" t="str">
        <f t="shared" si="33"/>
        <v xml:space="preserve"> </v>
      </c>
      <c r="F1396" s="96" t="str">
        <f t="shared" si="33"/>
        <v xml:space="preserve"> </v>
      </c>
    </row>
    <row r="1397" spans="5:6" hidden="1" x14ac:dyDescent="0.35">
      <c r="E1397" s="96" t="str">
        <f t="shared" si="33"/>
        <v xml:space="preserve"> </v>
      </c>
      <c r="F1397" s="96" t="str">
        <f t="shared" si="33"/>
        <v xml:space="preserve"> </v>
      </c>
    </row>
    <row r="1398" spans="5:6" hidden="1" x14ac:dyDescent="0.35">
      <c r="E1398" s="96" t="str">
        <f t="shared" si="33"/>
        <v xml:space="preserve"> </v>
      </c>
      <c r="F1398" s="96" t="str">
        <f t="shared" si="33"/>
        <v xml:space="preserve"> </v>
      </c>
    </row>
    <row r="1399" spans="5:6" hidden="1" x14ac:dyDescent="0.35">
      <c r="E1399" s="96" t="str">
        <f t="shared" si="33"/>
        <v xml:space="preserve"> </v>
      </c>
      <c r="F1399" s="96" t="str">
        <f t="shared" si="33"/>
        <v xml:space="preserve"> </v>
      </c>
    </row>
    <row r="1400" spans="5:6" hidden="1" x14ac:dyDescent="0.35">
      <c r="E1400" s="96" t="str">
        <f t="shared" si="33"/>
        <v xml:space="preserve"> </v>
      </c>
      <c r="F1400" s="96" t="str">
        <f t="shared" si="33"/>
        <v xml:space="preserve"> </v>
      </c>
    </row>
    <row r="1401" spans="5:6" hidden="1" x14ac:dyDescent="0.35">
      <c r="E1401" s="96" t="str">
        <f t="shared" si="33"/>
        <v xml:space="preserve"> </v>
      </c>
      <c r="F1401" s="96" t="str">
        <f t="shared" si="33"/>
        <v xml:space="preserve"> </v>
      </c>
    </row>
    <row r="1402" spans="5:6" hidden="1" x14ac:dyDescent="0.35">
      <c r="E1402" s="96" t="str">
        <f t="shared" si="33"/>
        <v xml:space="preserve"> </v>
      </c>
      <c r="F1402" s="96" t="str">
        <f t="shared" si="33"/>
        <v xml:space="preserve"> </v>
      </c>
    </row>
    <row r="1403" spans="5:6" hidden="1" x14ac:dyDescent="0.35">
      <c r="E1403" s="96" t="str">
        <f t="shared" si="33"/>
        <v xml:space="preserve"> </v>
      </c>
      <c r="F1403" s="96" t="str">
        <f t="shared" si="33"/>
        <v xml:space="preserve"> </v>
      </c>
    </row>
    <row r="1404" spans="5:6" hidden="1" x14ac:dyDescent="0.35">
      <c r="E1404" s="96" t="str">
        <f t="shared" si="33"/>
        <v xml:space="preserve"> </v>
      </c>
      <c r="F1404" s="96" t="str">
        <f t="shared" si="33"/>
        <v xml:space="preserve"> </v>
      </c>
    </row>
    <row r="1405" spans="5:6" hidden="1" x14ac:dyDescent="0.35">
      <c r="E1405" s="96" t="str">
        <f t="shared" si="33"/>
        <v xml:space="preserve"> </v>
      </c>
      <c r="F1405" s="96" t="str">
        <f t="shared" si="33"/>
        <v xml:space="preserve"> </v>
      </c>
    </row>
    <row r="1406" spans="5:6" hidden="1" x14ac:dyDescent="0.35">
      <c r="E1406" s="96" t="str">
        <f t="shared" si="33"/>
        <v xml:space="preserve"> </v>
      </c>
      <c r="F1406" s="96" t="str">
        <f t="shared" si="33"/>
        <v xml:space="preserve"> </v>
      </c>
    </row>
    <row r="1407" spans="5:6" hidden="1" x14ac:dyDescent="0.35">
      <c r="E1407" s="96" t="str">
        <f t="shared" si="33"/>
        <v xml:space="preserve"> </v>
      </c>
      <c r="F1407" s="96" t="str">
        <f t="shared" si="33"/>
        <v xml:space="preserve"> </v>
      </c>
    </row>
    <row r="1408" spans="5:6" hidden="1" x14ac:dyDescent="0.35">
      <c r="E1408" s="96" t="str">
        <f t="shared" si="33"/>
        <v xml:space="preserve"> </v>
      </c>
      <c r="F1408" s="96" t="str">
        <f t="shared" si="33"/>
        <v xml:space="preserve"> </v>
      </c>
    </row>
    <row r="1409" spans="5:6" hidden="1" x14ac:dyDescent="0.35">
      <c r="E1409" s="96" t="str">
        <f t="shared" si="33"/>
        <v xml:space="preserve"> </v>
      </c>
      <c r="F1409" s="96" t="str">
        <f t="shared" si="33"/>
        <v xml:space="preserve"> </v>
      </c>
    </row>
    <row r="1410" spans="5:6" hidden="1" x14ac:dyDescent="0.35">
      <c r="E1410" s="96" t="str">
        <f t="shared" si="33"/>
        <v xml:space="preserve"> </v>
      </c>
      <c r="F1410" s="96" t="str">
        <f t="shared" si="33"/>
        <v xml:space="preserve"> </v>
      </c>
    </row>
    <row r="1411" spans="5:6" hidden="1" x14ac:dyDescent="0.35">
      <c r="E1411" s="96" t="str">
        <f t="shared" si="33"/>
        <v xml:space="preserve"> </v>
      </c>
      <c r="F1411" s="96" t="str">
        <f t="shared" si="33"/>
        <v xml:space="preserve"> </v>
      </c>
    </row>
    <row r="1412" spans="5:6" hidden="1" x14ac:dyDescent="0.35">
      <c r="E1412" s="96" t="str">
        <f t="shared" si="33"/>
        <v xml:space="preserve"> </v>
      </c>
      <c r="F1412" s="96" t="str">
        <f t="shared" si="33"/>
        <v xml:space="preserve"> </v>
      </c>
    </row>
    <row r="1413" spans="5:6" hidden="1" x14ac:dyDescent="0.35">
      <c r="E1413" s="96" t="str">
        <f t="shared" si="33"/>
        <v xml:space="preserve"> </v>
      </c>
      <c r="F1413" s="96" t="str">
        <f t="shared" si="33"/>
        <v xml:space="preserve"> </v>
      </c>
    </row>
    <row r="1414" spans="5:6" hidden="1" x14ac:dyDescent="0.35">
      <c r="E1414" s="96" t="str">
        <f t="shared" si="33"/>
        <v xml:space="preserve"> </v>
      </c>
      <c r="F1414" s="96" t="str">
        <f t="shared" si="33"/>
        <v xml:space="preserve"> </v>
      </c>
    </row>
    <row r="1415" spans="5:6" hidden="1" x14ac:dyDescent="0.35">
      <c r="E1415" s="96" t="str">
        <f t="shared" si="33"/>
        <v xml:space="preserve"> </v>
      </c>
      <c r="F1415" s="96" t="str">
        <f t="shared" si="33"/>
        <v xml:space="preserve"> </v>
      </c>
    </row>
    <row r="1416" spans="5:6" hidden="1" x14ac:dyDescent="0.35">
      <c r="E1416" s="96" t="str">
        <f t="shared" si="33"/>
        <v xml:space="preserve"> </v>
      </c>
      <c r="F1416" s="96" t="str">
        <f t="shared" si="33"/>
        <v xml:space="preserve"> </v>
      </c>
    </row>
    <row r="1417" spans="5:6" hidden="1" x14ac:dyDescent="0.35">
      <c r="E1417" s="96" t="str">
        <f t="shared" si="33"/>
        <v xml:space="preserve"> </v>
      </c>
      <c r="F1417" s="96" t="str">
        <f t="shared" si="33"/>
        <v xml:space="preserve"> </v>
      </c>
    </row>
    <row r="1418" spans="5:6" hidden="1" x14ac:dyDescent="0.35">
      <c r="E1418" s="96" t="str">
        <f t="shared" si="33"/>
        <v xml:space="preserve"> </v>
      </c>
      <c r="F1418" s="96" t="str">
        <f t="shared" si="33"/>
        <v xml:space="preserve"> </v>
      </c>
    </row>
    <row r="1419" spans="5:6" hidden="1" x14ac:dyDescent="0.35">
      <c r="E1419" s="96" t="str">
        <f t="shared" si="33"/>
        <v xml:space="preserve"> </v>
      </c>
      <c r="F1419" s="96" t="str">
        <f t="shared" si="33"/>
        <v xml:space="preserve"> </v>
      </c>
    </row>
    <row r="1420" spans="5:6" hidden="1" x14ac:dyDescent="0.35">
      <c r="E1420" s="96" t="str">
        <f t="shared" si="33"/>
        <v xml:space="preserve"> </v>
      </c>
      <c r="F1420" s="96" t="str">
        <f t="shared" si="33"/>
        <v xml:space="preserve"> </v>
      </c>
    </row>
    <row r="1421" spans="5:6" hidden="1" x14ac:dyDescent="0.35">
      <c r="E1421" s="96" t="str">
        <f t="shared" si="33"/>
        <v xml:space="preserve"> </v>
      </c>
      <c r="F1421" s="96" t="str">
        <f t="shared" si="33"/>
        <v xml:space="preserve"> </v>
      </c>
    </row>
    <row r="1422" spans="5:6" hidden="1" x14ac:dyDescent="0.35">
      <c r="E1422" s="96" t="str">
        <f t="shared" si="33"/>
        <v xml:space="preserve"> </v>
      </c>
      <c r="F1422" s="96" t="str">
        <f t="shared" si="33"/>
        <v xml:space="preserve"> </v>
      </c>
    </row>
    <row r="1423" spans="5:6" hidden="1" x14ac:dyDescent="0.35">
      <c r="E1423" s="96" t="str">
        <f t="shared" si="33"/>
        <v xml:space="preserve"> </v>
      </c>
      <c r="F1423" s="96" t="str">
        <f t="shared" si="33"/>
        <v xml:space="preserve"> </v>
      </c>
    </row>
    <row r="1424" spans="5:6" hidden="1" x14ac:dyDescent="0.35">
      <c r="E1424" s="96" t="str">
        <f t="shared" si="33"/>
        <v xml:space="preserve"> </v>
      </c>
      <c r="F1424" s="96" t="str">
        <f t="shared" si="33"/>
        <v xml:space="preserve"> </v>
      </c>
    </row>
    <row r="1425" spans="5:6" hidden="1" x14ac:dyDescent="0.35">
      <c r="E1425" s="96" t="str">
        <f t="shared" si="33"/>
        <v xml:space="preserve"> </v>
      </c>
      <c r="F1425" s="96" t="str">
        <f t="shared" si="33"/>
        <v xml:space="preserve"> </v>
      </c>
    </row>
    <row r="1426" spans="5:6" hidden="1" x14ac:dyDescent="0.35">
      <c r="E1426" s="96" t="str">
        <f t="shared" si="33"/>
        <v xml:space="preserve"> </v>
      </c>
      <c r="F1426" s="96" t="str">
        <f t="shared" si="33"/>
        <v xml:space="preserve"> </v>
      </c>
    </row>
    <row r="1427" spans="5:6" hidden="1" x14ac:dyDescent="0.35">
      <c r="E1427" s="96" t="str">
        <f t="shared" si="33"/>
        <v xml:space="preserve"> </v>
      </c>
      <c r="F1427" s="96" t="str">
        <f t="shared" si="33"/>
        <v xml:space="preserve"> </v>
      </c>
    </row>
    <row r="1428" spans="5:6" hidden="1" x14ac:dyDescent="0.35">
      <c r="E1428" s="96" t="str">
        <f t="shared" si="33"/>
        <v xml:space="preserve"> </v>
      </c>
      <c r="F1428" s="96" t="str">
        <f t="shared" si="33"/>
        <v xml:space="preserve"> </v>
      </c>
    </row>
    <row r="1429" spans="5:6" hidden="1" x14ac:dyDescent="0.35">
      <c r="E1429" s="96" t="str">
        <f t="shared" si="33"/>
        <v xml:space="preserve"> </v>
      </c>
      <c r="F1429" s="96" t="str">
        <f t="shared" si="33"/>
        <v xml:space="preserve"> </v>
      </c>
    </row>
    <row r="1430" spans="5:6" hidden="1" x14ac:dyDescent="0.35">
      <c r="E1430" s="96" t="str">
        <f t="shared" si="33"/>
        <v xml:space="preserve"> </v>
      </c>
      <c r="F1430" s="96" t="str">
        <f t="shared" si="33"/>
        <v xml:space="preserve"> </v>
      </c>
    </row>
    <row r="1431" spans="5:6" hidden="1" x14ac:dyDescent="0.35">
      <c r="E1431" s="96" t="str">
        <f t="shared" ref="E1431:F1494" si="34">IF((IFERROR(C1431/C1430-1," "))=-1," ",IFERROR(C1431/C1430-1," "))</f>
        <v xml:space="preserve"> </v>
      </c>
      <c r="F1431" s="96" t="str">
        <f t="shared" si="34"/>
        <v xml:space="preserve"> </v>
      </c>
    </row>
    <row r="1432" spans="5:6" hidden="1" x14ac:dyDescent="0.35">
      <c r="E1432" s="96" t="str">
        <f t="shared" si="34"/>
        <v xml:space="preserve"> </v>
      </c>
      <c r="F1432" s="96" t="str">
        <f t="shared" si="34"/>
        <v xml:space="preserve"> </v>
      </c>
    </row>
    <row r="1433" spans="5:6" hidden="1" x14ac:dyDescent="0.35">
      <c r="E1433" s="96" t="str">
        <f t="shared" si="34"/>
        <v xml:space="preserve"> </v>
      </c>
      <c r="F1433" s="96" t="str">
        <f t="shared" si="34"/>
        <v xml:space="preserve"> </v>
      </c>
    </row>
    <row r="1434" spans="5:6" hidden="1" x14ac:dyDescent="0.35">
      <c r="E1434" s="96" t="str">
        <f t="shared" si="34"/>
        <v xml:space="preserve"> </v>
      </c>
      <c r="F1434" s="96" t="str">
        <f t="shared" si="34"/>
        <v xml:space="preserve"> </v>
      </c>
    </row>
    <row r="1435" spans="5:6" hidden="1" x14ac:dyDescent="0.35">
      <c r="E1435" s="96" t="str">
        <f t="shared" si="34"/>
        <v xml:space="preserve"> </v>
      </c>
      <c r="F1435" s="96" t="str">
        <f t="shared" si="34"/>
        <v xml:space="preserve"> </v>
      </c>
    </row>
    <row r="1436" spans="5:6" hidden="1" x14ac:dyDescent="0.35">
      <c r="E1436" s="96" t="str">
        <f t="shared" si="34"/>
        <v xml:space="preserve"> </v>
      </c>
      <c r="F1436" s="96" t="str">
        <f t="shared" si="34"/>
        <v xml:space="preserve"> </v>
      </c>
    </row>
    <row r="1437" spans="5:6" hidden="1" x14ac:dyDescent="0.35">
      <c r="E1437" s="96" t="str">
        <f t="shared" si="34"/>
        <v xml:space="preserve"> </v>
      </c>
      <c r="F1437" s="96" t="str">
        <f t="shared" si="34"/>
        <v xml:space="preserve"> </v>
      </c>
    </row>
    <row r="1438" spans="5:6" hidden="1" x14ac:dyDescent="0.35">
      <c r="E1438" s="96" t="str">
        <f t="shared" si="34"/>
        <v xml:space="preserve"> </v>
      </c>
      <c r="F1438" s="96" t="str">
        <f t="shared" si="34"/>
        <v xml:space="preserve"> </v>
      </c>
    </row>
    <row r="1439" spans="5:6" hidden="1" x14ac:dyDescent="0.35">
      <c r="E1439" s="96" t="str">
        <f t="shared" si="34"/>
        <v xml:space="preserve"> </v>
      </c>
      <c r="F1439" s="96" t="str">
        <f t="shared" si="34"/>
        <v xml:space="preserve"> </v>
      </c>
    </row>
    <row r="1440" spans="5:6" hidden="1" x14ac:dyDescent="0.35">
      <c r="E1440" s="96" t="str">
        <f t="shared" si="34"/>
        <v xml:space="preserve"> </v>
      </c>
      <c r="F1440" s="96" t="str">
        <f t="shared" si="34"/>
        <v xml:space="preserve"> </v>
      </c>
    </row>
    <row r="1441" spans="5:6" hidden="1" x14ac:dyDescent="0.35">
      <c r="E1441" s="96" t="str">
        <f t="shared" si="34"/>
        <v xml:space="preserve"> </v>
      </c>
      <c r="F1441" s="96" t="str">
        <f t="shared" si="34"/>
        <v xml:space="preserve"> </v>
      </c>
    </row>
    <row r="1442" spans="5:6" hidden="1" x14ac:dyDescent="0.35">
      <c r="E1442" s="96" t="str">
        <f t="shared" si="34"/>
        <v xml:space="preserve"> </v>
      </c>
      <c r="F1442" s="96" t="str">
        <f t="shared" si="34"/>
        <v xml:space="preserve"> </v>
      </c>
    </row>
    <row r="1443" spans="5:6" hidden="1" x14ac:dyDescent="0.35">
      <c r="E1443" s="96" t="str">
        <f t="shared" si="34"/>
        <v xml:space="preserve"> </v>
      </c>
      <c r="F1443" s="96" t="str">
        <f t="shared" si="34"/>
        <v xml:space="preserve"> </v>
      </c>
    </row>
    <row r="1444" spans="5:6" hidden="1" x14ac:dyDescent="0.35">
      <c r="E1444" s="96" t="str">
        <f t="shared" si="34"/>
        <v xml:space="preserve"> </v>
      </c>
      <c r="F1444" s="96" t="str">
        <f t="shared" si="34"/>
        <v xml:space="preserve"> </v>
      </c>
    </row>
    <row r="1445" spans="5:6" hidden="1" x14ac:dyDescent="0.35">
      <c r="E1445" s="96" t="str">
        <f t="shared" si="34"/>
        <v xml:space="preserve"> </v>
      </c>
      <c r="F1445" s="96" t="str">
        <f t="shared" si="34"/>
        <v xml:space="preserve"> </v>
      </c>
    </row>
    <row r="1446" spans="5:6" hidden="1" x14ac:dyDescent="0.35">
      <c r="E1446" s="96" t="str">
        <f t="shared" si="34"/>
        <v xml:space="preserve"> </v>
      </c>
      <c r="F1446" s="96" t="str">
        <f t="shared" si="34"/>
        <v xml:space="preserve"> </v>
      </c>
    </row>
    <row r="1447" spans="5:6" hidden="1" x14ac:dyDescent="0.35">
      <c r="E1447" s="96" t="str">
        <f t="shared" si="34"/>
        <v xml:space="preserve"> </v>
      </c>
      <c r="F1447" s="96" t="str">
        <f t="shared" si="34"/>
        <v xml:space="preserve"> </v>
      </c>
    </row>
    <row r="1448" spans="5:6" hidden="1" x14ac:dyDescent="0.35">
      <c r="E1448" s="96" t="str">
        <f t="shared" si="34"/>
        <v xml:space="preserve"> </v>
      </c>
      <c r="F1448" s="96" t="str">
        <f t="shared" si="34"/>
        <v xml:space="preserve"> </v>
      </c>
    </row>
    <row r="1449" spans="5:6" hidden="1" x14ac:dyDescent="0.35">
      <c r="E1449" s="96" t="str">
        <f t="shared" si="34"/>
        <v xml:space="preserve"> </v>
      </c>
      <c r="F1449" s="96" t="str">
        <f t="shared" si="34"/>
        <v xml:space="preserve"> </v>
      </c>
    </row>
    <row r="1450" spans="5:6" hidden="1" x14ac:dyDescent="0.35">
      <c r="E1450" s="96" t="str">
        <f t="shared" si="34"/>
        <v xml:space="preserve"> </v>
      </c>
      <c r="F1450" s="96" t="str">
        <f t="shared" si="34"/>
        <v xml:space="preserve"> </v>
      </c>
    </row>
    <row r="1451" spans="5:6" hidden="1" x14ac:dyDescent="0.35">
      <c r="E1451" s="96" t="str">
        <f t="shared" si="34"/>
        <v xml:space="preserve"> </v>
      </c>
      <c r="F1451" s="96" t="str">
        <f t="shared" si="34"/>
        <v xml:space="preserve"> </v>
      </c>
    </row>
    <row r="1452" spans="5:6" hidden="1" x14ac:dyDescent="0.35">
      <c r="E1452" s="96" t="str">
        <f t="shared" si="34"/>
        <v xml:space="preserve"> </v>
      </c>
      <c r="F1452" s="96" t="str">
        <f t="shared" si="34"/>
        <v xml:space="preserve"> </v>
      </c>
    </row>
    <row r="1453" spans="5:6" hidden="1" x14ac:dyDescent="0.35">
      <c r="E1453" s="96" t="str">
        <f t="shared" si="34"/>
        <v xml:space="preserve"> </v>
      </c>
      <c r="F1453" s="96" t="str">
        <f t="shared" si="34"/>
        <v xml:space="preserve"> </v>
      </c>
    </row>
    <row r="1454" spans="5:6" hidden="1" x14ac:dyDescent="0.35">
      <c r="E1454" s="96" t="str">
        <f t="shared" si="34"/>
        <v xml:space="preserve"> </v>
      </c>
      <c r="F1454" s="96" t="str">
        <f t="shared" si="34"/>
        <v xml:space="preserve"> </v>
      </c>
    </row>
    <row r="1455" spans="5:6" hidden="1" x14ac:dyDescent="0.35">
      <c r="E1455" s="96" t="str">
        <f t="shared" si="34"/>
        <v xml:space="preserve"> </v>
      </c>
      <c r="F1455" s="96" t="str">
        <f t="shared" si="34"/>
        <v xml:space="preserve"> </v>
      </c>
    </row>
    <row r="1456" spans="5:6" hidden="1" x14ac:dyDescent="0.35">
      <c r="E1456" s="96" t="str">
        <f t="shared" si="34"/>
        <v xml:space="preserve"> </v>
      </c>
      <c r="F1456" s="96" t="str">
        <f t="shared" si="34"/>
        <v xml:space="preserve"> </v>
      </c>
    </row>
    <row r="1457" spans="5:6" hidden="1" x14ac:dyDescent="0.35">
      <c r="E1457" s="96" t="str">
        <f t="shared" si="34"/>
        <v xml:space="preserve"> </v>
      </c>
      <c r="F1457" s="96" t="str">
        <f t="shared" si="34"/>
        <v xml:space="preserve"> </v>
      </c>
    </row>
    <row r="1458" spans="5:6" hidden="1" x14ac:dyDescent="0.35">
      <c r="E1458" s="96" t="str">
        <f t="shared" si="34"/>
        <v xml:space="preserve"> </v>
      </c>
      <c r="F1458" s="96" t="str">
        <f t="shared" si="34"/>
        <v xml:space="preserve"> </v>
      </c>
    </row>
    <row r="1459" spans="5:6" hidden="1" x14ac:dyDescent="0.35">
      <c r="E1459" s="96" t="str">
        <f t="shared" si="34"/>
        <v xml:space="preserve"> </v>
      </c>
      <c r="F1459" s="96" t="str">
        <f t="shared" si="34"/>
        <v xml:space="preserve"> </v>
      </c>
    </row>
    <row r="1460" spans="5:6" hidden="1" x14ac:dyDescent="0.35">
      <c r="E1460" s="96" t="str">
        <f t="shared" si="34"/>
        <v xml:space="preserve"> </v>
      </c>
      <c r="F1460" s="96" t="str">
        <f t="shared" si="34"/>
        <v xml:space="preserve"> </v>
      </c>
    </row>
    <row r="1461" spans="5:6" hidden="1" x14ac:dyDescent="0.35">
      <c r="E1461" s="96" t="str">
        <f t="shared" si="34"/>
        <v xml:space="preserve"> </v>
      </c>
      <c r="F1461" s="96" t="str">
        <f t="shared" si="34"/>
        <v xml:space="preserve"> </v>
      </c>
    </row>
    <row r="1462" spans="5:6" hidden="1" x14ac:dyDescent="0.35">
      <c r="E1462" s="96" t="str">
        <f t="shared" si="34"/>
        <v xml:space="preserve"> </v>
      </c>
      <c r="F1462" s="96" t="str">
        <f t="shared" si="34"/>
        <v xml:space="preserve"> </v>
      </c>
    </row>
    <row r="1463" spans="5:6" hidden="1" x14ac:dyDescent="0.35">
      <c r="E1463" s="96" t="str">
        <f t="shared" si="34"/>
        <v xml:space="preserve"> </v>
      </c>
      <c r="F1463" s="96" t="str">
        <f t="shared" si="34"/>
        <v xml:space="preserve"> </v>
      </c>
    </row>
    <row r="1464" spans="5:6" hidden="1" x14ac:dyDescent="0.35">
      <c r="E1464" s="96" t="str">
        <f t="shared" si="34"/>
        <v xml:space="preserve"> </v>
      </c>
      <c r="F1464" s="96" t="str">
        <f t="shared" si="34"/>
        <v xml:space="preserve"> </v>
      </c>
    </row>
    <row r="1465" spans="5:6" hidden="1" x14ac:dyDescent="0.35">
      <c r="E1465" s="96" t="str">
        <f t="shared" si="34"/>
        <v xml:space="preserve"> </v>
      </c>
      <c r="F1465" s="96" t="str">
        <f t="shared" si="34"/>
        <v xml:space="preserve"> </v>
      </c>
    </row>
    <row r="1466" spans="5:6" hidden="1" x14ac:dyDescent="0.35">
      <c r="E1466" s="96" t="str">
        <f t="shared" si="34"/>
        <v xml:space="preserve"> </v>
      </c>
      <c r="F1466" s="96" t="str">
        <f t="shared" si="34"/>
        <v xml:space="preserve"> </v>
      </c>
    </row>
    <row r="1467" spans="5:6" hidden="1" x14ac:dyDescent="0.35">
      <c r="E1467" s="96" t="str">
        <f t="shared" si="34"/>
        <v xml:space="preserve"> </v>
      </c>
      <c r="F1467" s="96" t="str">
        <f t="shared" si="34"/>
        <v xml:space="preserve"> </v>
      </c>
    </row>
    <row r="1468" spans="5:6" hidden="1" x14ac:dyDescent="0.35">
      <c r="E1468" s="96" t="str">
        <f t="shared" si="34"/>
        <v xml:space="preserve"> </v>
      </c>
      <c r="F1468" s="96" t="str">
        <f t="shared" si="34"/>
        <v xml:space="preserve"> </v>
      </c>
    </row>
    <row r="1469" spans="5:6" hidden="1" x14ac:dyDescent="0.35">
      <c r="E1469" s="96" t="str">
        <f t="shared" si="34"/>
        <v xml:space="preserve"> </v>
      </c>
      <c r="F1469" s="96" t="str">
        <f t="shared" si="34"/>
        <v xml:space="preserve"> </v>
      </c>
    </row>
    <row r="1470" spans="5:6" hidden="1" x14ac:dyDescent="0.35">
      <c r="E1470" s="96" t="str">
        <f t="shared" si="34"/>
        <v xml:space="preserve"> </v>
      </c>
      <c r="F1470" s="96" t="str">
        <f t="shared" si="34"/>
        <v xml:space="preserve"> </v>
      </c>
    </row>
    <row r="1471" spans="5:6" hidden="1" x14ac:dyDescent="0.35">
      <c r="E1471" s="96" t="str">
        <f t="shared" si="34"/>
        <v xml:space="preserve"> </v>
      </c>
      <c r="F1471" s="96" t="str">
        <f t="shared" si="34"/>
        <v xml:space="preserve"> </v>
      </c>
    </row>
    <row r="1472" spans="5:6" hidden="1" x14ac:dyDescent="0.35">
      <c r="E1472" s="96" t="str">
        <f t="shared" si="34"/>
        <v xml:space="preserve"> </v>
      </c>
      <c r="F1472" s="96" t="str">
        <f t="shared" si="34"/>
        <v xml:space="preserve"> </v>
      </c>
    </row>
    <row r="1473" spans="5:6" hidden="1" x14ac:dyDescent="0.35">
      <c r="E1473" s="96" t="str">
        <f t="shared" si="34"/>
        <v xml:space="preserve"> </v>
      </c>
      <c r="F1473" s="96" t="str">
        <f t="shared" si="34"/>
        <v xml:space="preserve"> </v>
      </c>
    </row>
    <row r="1474" spans="5:6" hidden="1" x14ac:dyDescent="0.35">
      <c r="E1474" s="96" t="str">
        <f t="shared" si="34"/>
        <v xml:space="preserve"> </v>
      </c>
      <c r="F1474" s="96" t="str">
        <f t="shared" si="34"/>
        <v xml:space="preserve"> </v>
      </c>
    </row>
    <row r="1475" spans="5:6" hidden="1" x14ac:dyDescent="0.35">
      <c r="E1475" s="96" t="str">
        <f t="shared" si="34"/>
        <v xml:space="preserve"> </v>
      </c>
      <c r="F1475" s="96" t="str">
        <f t="shared" si="34"/>
        <v xml:space="preserve"> </v>
      </c>
    </row>
    <row r="1476" spans="5:6" hidden="1" x14ac:dyDescent="0.35">
      <c r="E1476" s="96" t="str">
        <f t="shared" si="34"/>
        <v xml:space="preserve"> </v>
      </c>
      <c r="F1476" s="96" t="str">
        <f t="shared" si="34"/>
        <v xml:space="preserve"> </v>
      </c>
    </row>
    <row r="1477" spans="5:6" hidden="1" x14ac:dyDescent="0.35">
      <c r="E1477" s="96" t="str">
        <f t="shared" si="34"/>
        <v xml:space="preserve"> </v>
      </c>
      <c r="F1477" s="96" t="str">
        <f t="shared" si="34"/>
        <v xml:space="preserve"> </v>
      </c>
    </row>
    <row r="1478" spans="5:6" hidden="1" x14ac:dyDescent="0.35">
      <c r="E1478" s="96" t="str">
        <f t="shared" si="34"/>
        <v xml:space="preserve"> </v>
      </c>
      <c r="F1478" s="96" t="str">
        <f t="shared" si="34"/>
        <v xml:space="preserve"> </v>
      </c>
    </row>
    <row r="1479" spans="5:6" hidden="1" x14ac:dyDescent="0.35">
      <c r="E1479" s="96" t="str">
        <f t="shared" si="34"/>
        <v xml:space="preserve"> </v>
      </c>
      <c r="F1479" s="96" t="str">
        <f t="shared" si="34"/>
        <v xml:space="preserve"> </v>
      </c>
    </row>
    <row r="1480" spans="5:6" hidden="1" x14ac:dyDescent="0.35">
      <c r="E1480" s="96" t="str">
        <f t="shared" si="34"/>
        <v xml:space="preserve"> </v>
      </c>
      <c r="F1480" s="96" t="str">
        <f t="shared" si="34"/>
        <v xml:space="preserve"> </v>
      </c>
    </row>
    <row r="1481" spans="5:6" hidden="1" x14ac:dyDescent="0.35">
      <c r="E1481" s="96" t="str">
        <f t="shared" si="34"/>
        <v xml:space="preserve"> </v>
      </c>
      <c r="F1481" s="96" t="str">
        <f t="shared" si="34"/>
        <v xml:space="preserve"> </v>
      </c>
    </row>
    <row r="1482" spans="5:6" hidden="1" x14ac:dyDescent="0.35">
      <c r="E1482" s="96" t="str">
        <f t="shared" si="34"/>
        <v xml:space="preserve"> </v>
      </c>
      <c r="F1482" s="96" t="str">
        <f t="shared" si="34"/>
        <v xml:space="preserve"> </v>
      </c>
    </row>
    <row r="1483" spans="5:6" hidden="1" x14ac:dyDescent="0.35">
      <c r="E1483" s="96" t="str">
        <f t="shared" si="34"/>
        <v xml:space="preserve"> </v>
      </c>
      <c r="F1483" s="96" t="str">
        <f t="shared" si="34"/>
        <v xml:space="preserve"> </v>
      </c>
    </row>
    <row r="1484" spans="5:6" hidden="1" x14ac:dyDescent="0.35">
      <c r="E1484" s="96" t="str">
        <f t="shared" si="34"/>
        <v xml:space="preserve"> </v>
      </c>
      <c r="F1484" s="96" t="str">
        <f t="shared" si="34"/>
        <v xml:space="preserve"> </v>
      </c>
    </row>
    <row r="1485" spans="5:6" hidden="1" x14ac:dyDescent="0.35">
      <c r="E1485" s="96" t="str">
        <f t="shared" si="34"/>
        <v xml:space="preserve"> </v>
      </c>
      <c r="F1485" s="96" t="str">
        <f t="shared" si="34"/>
        <v xml:space="preserve"> </v>
      </c>
    </row>
    <row r="1486" spans="5:6" hidden="1" x14ac:dyDescent="0.35">
      <c r="E1486" s="96" t="str">
        <f t="shared" si="34"/>
        <v xml:space="preserve"> </v>
      </c>
      <c r="F1486" s="96" t="str">
        <f t="shared" si="34"/>
        <v xml:space="preserve"> </v>
      </c>
    </row>
    <row r="1487" spans="5:6" hidden="1" x14ac:dyDescent="0.35">
      <c r="E1487" s="96" t="str">
        <f t="shared" si="34"/>
        <v xml:space="preserve"> </v>
      </c>
      <c r="F1487" s="96" t="str">
        <f t="shared" si="34"/>
        <v xml:space="preserve"> </v>
      </c>
    </row>
    <row r="1488" spans="5:6" hidden="1" x14ac:dyDescent="0.35">
      <c r="E1488" s="96" t="str">
        <f t="shared" si="34"/>
        <v xml:space="preserve"> </v>
      </c>
      <c r="F1488" s="96" t="str">
        <f t="shared" si="34"/>
        <v xml:space="preserve"> </v>
      </c>
    </row>
    <row r="1489" spans="5:6" hidden="1" x14ac:dyDescent="0.35">
      <c r="E1489" s="96" t="str">
        <f t="shared" si="34"/>
        <v xml:space="preserve"> </v>
      </c>
      <c r="F1489" s="96" t="str">
        <f t="shared" si="34"/>
        <v xml:space="preserve"> </v>
      </c>
    </row>
    <row r="1490" spans="5:6" hidden="1" x14ac:dyDescent="0.35">
      <c r="E1490" s="96" t="str">
        <f t="shared" si="34"/>
        <v xml:space="preserve"> </v>
      </c>
      <c r="F1490" s="96" t="str">
        <f t="shared" si="34"/>
        <v xml:space="preserve"> </v>
      </c>
    </row>
    <row r="1491" spans="5:6" hidden="1" x14ac:dyDescent="0.35">
      <c r="E1491" s="96" t="str">
        <f t="shared" si="34"/>
        <v xml:space="preserve"> </v>
      </c>
      <c r="F1491" s="96" t="str">
        <f t="shared" si="34"/>
        <v xml:space="preserve"> </v>
      </c>
    </row>
    <row r="1492" spans="5:6" hidden="1" x14ac:dyDescent="0.35">
      <c r="E1492" s="96" t="str">
        <f t="shared" si="34"/>
        <v xml:space="preserve"> </v>
      </c>
      <c r="F1492" s="96" t="str">
        <f t="shared" si="34"/>
        <v xml:space="preserve"> </v>
      </c>
    </row>
    <row r="1493" spans="5:6" hidden="1" x14ac:dyDescent="0.35">
      <c r="E1493" s="96" t="str">
        <f t="shared" si="34"/>
        <v xml:space="preserve"> </v>
      </c>
      <c r="F1493" s="96" t="str">
        <f t="shared" si="34"/>
        <v xml:space="preserve"> </v>
      </c>
    </row>
    <row r="1494" spans="5:6" hidden="1" x14ac:dyDescent="0.35">
      <c r="E1494" s="96" t="str">
        <f t="shared" si="34"/>
        <v xml:space="preserve"> </v>
      </c>
      <c r="F1494" s="96" t="str">
        <f t="shared" si="34"/>
        <v xml:space="preserve"> </v>
      </c>
    </row>
    <row r="1495" spans="5:6" hidden="1" x14ac:dyDescent="0.35">
      <c r="E1495" s="96" t="str">
        <f t="shared" ref="E1495:F1558" si="35">IF((IFERROR(C1495/C1494-1," "))=-1," ",IFERROR(C1495/C1494-1," "))</f>
        <v xml:space="preserve"> </v>
      </c>
      <c r="F1495" s="96" t="str">
        <f t="shared" si="35"/>
        <v xml:space="preserve"> </v>
      </c>
    </row>
    <row r="1496" spans="5:6" hidden="1" x14ac:dyDescent="0.35">
      <c r="E1496" s="96" t="str">
        <f t="shared" si="35"/>
        <v xml:space="preserve"> </v>
      </c>
      <c r="F1496" s="96" t="str">
        <f t="shared" si="35"/>
        <v xml:space="preserve"> </v>
      </c>
    </row>
    <row r="1497" spans="5:6" hidden="1" x14ac:dyDescent="0.35">
      <c r="E1497" s="96" t="str">
        <f t="shared" si="35"/>
        <v xml:space="preserve"> </v>
      </c>
      <c r="F1497" s="96" t="str">
        <f t="shared" si="35"/>
        <v xml:space="preserve"> </v>
      </c>
    </row>
    <row r="1498" spans="5:6" hidden="1" x14ac:dyDescent="0.35">
      <c r="E1498" s="96" t="str">
        <f t="shared" si="35"/>
        <v xml:space="preserve"> </v>
      </c>
      <c r="F1498" s="96" t="str">
        <f t="shared" si="35"/>
        <v xml:space="preserve"> </v>
      </c>
    </row>
    <row r="1499" spans="5:6" hidden="1" x14ac:dyDescent="0.35">
      <c r="E1499" s="96" t="str">
        <f t="shared" si="35"/>
        <v xml:space="preserve"> </v>
      </c>
      <c r="F1499" s="96" t="str">
        <f t="shared" si="35"/>
        <v xml:space="preserve"> </v>
      </c>
    </row>
    <row r="1500" spans="5:6" hidden="1" x14ac:dyDescent="0.35">
      <c r="E1500" s="96" t="str">
        <f t="shared" si="35"/>
        <v xml:space="preserve"> </v>
      </c>
      <c r="F1500" s="96" t="str">
        <f t="shared" si="35"/>
        <v xml:space="preserve"> </v>
      </c>
    </row>
    <row r="1501" spans="5:6" hidden="1" x14ac:dyDescent="0.35">
      <c r="E1501" s="96" t="str">
        <f t="shared" si="35"/>
        <v xml:space="preserve"> </v>
      </c>
      <c r="F1501" s="96" t="str">
        <f t="shared" si="35"/>
        <v xml:space="preserve"> </v>
      </c>
    </row>
    <row r="1502" spans="5:6" hidden="1" x14ac:dyDescent="0.35">
      <c r="E1502" s="96" t="str">
        <f t="shared" si="35"/>
        <v xml:space="preserve"> </v>
      </c>
      <c r="F1502" s="96" t="str">
        <f t="shared" si="35"/>
        <v xml:space="preserve"> </v>
      </c>
    </row>
    <row r="1503" spans="5:6" hidden="1" x14ac:dyDescent="0.35">
      <c r="E1503" s="96" t="str">
        <f t="shared" si="35"/>
        <v xml:space="preserve"> </v>
      </c>
      <c r="F1503" s="96" t="str">
        <f t="shared" si="35"/>
        <v xml:space="preserve"> </v>
      </c>
    </row>
    <row r="1504" spans="5:6" hidden="1" x14ac:dyDescent="0.35">
      <c r="E1504" s="96" t="str">
        <f t="shared" si="35"/>
        <v xml:space="preserve"> </v>
      </c>
      <c r="F1504" s="96" t="str">
        <f t="shared" si="35"/>
        <v xml:space="preserve"> </v>
      </c>
    </row>
    <row r="1505" spans="5:6" hidden="1" x14ac:dyDescent="0.35">
      <c r="E1505" s="96" t="str">
        <f t="shared" si="35"/>
        <v xml:space="preserve"> </v>
      </c>
      <c r="F1505" s="96" t="str">
        <f t="shared" si="35"/>
        <v xml:space="preserve"> </v>
      </c>
    </row>
    <row r="1506" spans="5:6" hidden="1" x14ac:dyDescent="0.35">
      <c r="E1506" s="96" t="str">
        <f t="shared" si="35"/>
        <v xml:space="preserve"> </v>
      </c>
      <c r="F1506" s="96" t="str">
        <f t="shared" si="35"/>
        <v xml:space="preserve"> </v>
      </c>
    </row>
    <row r="1507" spans="5:6" hidden="1" x14ac:dyDescent="0.35">
      <c r="E1507" s="96" t="str">
        <f t="shared" si="35"/>
        <v xml:space="preserve"> </v>
      </c>
      <c r="F1507" s="96" t="str">
        <f t="shared" si="35"/>
        <v xml:space="preserve"> </v>
      </c>
    </row>
    <row r="1508" spans="5:6" hidden="1" x14ac:dyDescent="0.35">
      <c r="E1508" s="96" t="str">
        <f t="shared" si="35"/>
        <v xml:space="preserve"> </v>
      </c>
      <c r="F1508" s="96" t="str">
        <f t="shared" si="35"/>
        <v xml:space="preserve"> </v>
      </c>
    </row>
    <row r="1509" spans="5:6" hidden="1" x14ac:dyDescent="0.35">
      <c r="E1509" s="96" t="str">
        <f t="shared" si="35"/>
        <v xml:space="preserve"> </v>
      </c>
      <c r="F1509" s="96" t="str">
        <f t="shared" si="35"/>
        <v xml:space="preserve"> </v>
      </c>
    </row>
    <row r="1510" spans="5:6" hidden="1" x14ac:dyDescent="0.35">
      <c r="E1510" s="96" t="str">
        <f t="shared" si="35"/>
        <v xml:space="preserve"> </v>
      </c>
      <c r="F1510" s="96" t="str">
        <f t="shared" si="35"/>
        <v xml:space="preserve"> </v>
      </c>
    </row>
    <row r="1511" spans="5:6" hidden="1" x14ac:dyDescent="0.35">
      <c r="E1511" s="96" t="str">
        <f t="shared" si="35"/>
        <v xml:space="preserve"> </v>
      </c>
      <c r="F1511" s="96" t="str">
        <f t="shared" si="35"/>
        <v xml:space="preserve"> </v>
      </c>
    </row>
    <row r="1512" spans="5:6" hidden="1" x14ac:dyDescent="0.35">
      <c r="E1512" s="96" t="str">
        <f t="shared" si="35"/>
        <v xml:space="preserve"> </v>
      </c>
      <c r="F1512" s="96" t="str">
        <f t="shared" si="35"/>
        <v xml:space="preserve"> </v>
      </c>
    </row>
    <row r="1513" spans="5:6" hidden="1" x14ac:dyDescent="0.35">
      <c r="E1513" s="96" t="str">
        <f t="shared" si="35"/>
        <v xml:space="preserve"> </v>
      </c>
      <c r="F1513" s="96" t="str">
        <f t="shared" si="35"/>
        <v xml:space="preserve"> </v>
      </c>
    </row>
    <row r="1514" spans="5:6" hidden="1" x14ac:dyDescent="0.35">
      <c r="E1514" s="96" t="str">
        <f t="shared" si="35"/>
        <v xml:space="preserve"> </v>
      </c>
      <c r="F1514" s="96" t="str">
        <f t="shared" si="35"/>
        <v xml:space="preserve"> </v>
      </c>
    </row>
    <row r="1515" spans="5:6" hidden="1" x14ac:dyDescent="0.35">
      <c r="E1515" s="96" t="str">
        <f t="shared" si="35"/>
        <v xml:space="preserve"> </v>
      </c>
      <c r="F1515" s="96" t="str">
        <f t="shared" si="35"/>
        <v xml:space="preserve"> </v>
      </c>
    </row>
    <row r="1516" spans="5:6" hidden="1" x14ac:dyDescent="0.35">
      <c r="E1516" s="96" t="str">
        <f t="shared" si="35"/>
        <v xml:space="preserve"> </v>
      </c>
      <c r="F1516" s="96" t="str">
        <f t="shared" si="35"/>
        <v xml:space="preserve"> </v>
      </c>
    </row>
    <row r="1517" spans="5:6" hidden="1" x14ac:dyDescent="0.35">
      <c r="E1517" s="96" t="str">
        <f t="shared" si="35"/>
        <v xml:space="preserve"> </v>
      </c>
      <c r="F1517" s="96" t="str">
        <f t="shared" si="35"/>
        <v xml:space="preserve"> </v>
      </c>
    </row>
    <row r="1518" spans="5:6" hidden="1" x14ac:dyDescent="0.35">
      <c r="E1518" s="96" t="str">
        <f t="shared" si="35"/>
        <v xml:space="preserve"> </v>
      </c>
      <c r="F1518" s="96" t="str">
        <f t="shared" si="35"/>
        <v xml:space="preserve"> </v>
      </c>
    </row>
    <row r="1519" spans="5:6" hidden="1" x14ac:dyDescent="0.35">
      <c r="E1519" s="96" t="str">
        <f t="shared" si="35"/>
        <v xml:space="preserve"> </v>
      </c>
      <c r="F1519" s="96" t="str">
        <f t="shared" si="35"/>
        <v xml:space="preserve"> </v>
      </c>
    </row>
    <row r="1520" spans="5:6" hidden="1" x14ac:dyDescent="0.35">
      <c r="E1520" s="96" t="str">
        <f t="shared" si="35"/>
        <v xml:space="preserve"> </v>
      </c>
      <c r="F1520" s="96" t="str">
        <f t="shared" si="35"/>
        <v xml:space="preserve"> </v>
      </c>
    </row>
    <row r="1521" spans="5:6" hidden="1" x14ac:dyDescent="0.35">
      <c r="E1521" s="96" t="str">
        <f t="shared" si="35"/>
        <v xml:space="preserve"> </v>
      </c>
      <c r="F1521" s="96" t="str">
        <f t="shared" si="35"/>
        <v xml:space="preserve"> </v>
      </c>
    </row>
    <row r="1522" spans="5:6" hidden="1" x14ac:dyDescent="0.35">
      <c r="E1522" s="96" t="str">
        <f t="shared" si="35"/>
        <v xml:space="preserve"> </v>
      </c>
      <c r="F1522" s="96" t="str">
        <f t="shared" si="35"/>
        <v xml:space="preserve"> </v>
      </c>
    </row>
    <row r="1523" spans="5:6" hidden="1" x14ac:dyDescent="0.35">
      <c r="E1523" s="96" t="str">
        <f t="shared" si="35"/>
        <v xml:space="preserve"> </v>
      </c>
      <c r="F1523" s="96" t="str">
        <f t="shared" si="35"/>
        <v xml:space="preserve"> </v>
      </c>
    </row>
    <row r="1524" spans="5:6" hidden="1" x14ac:dyDescent="0.35">
      <c r="E1524" s="96" t="str">
        <f t="shared" si="35"/>
        <v xml:space="preserve"> </v>
      </c>
      <c r="F1524" s="96" t="str">
        <f t="shared" si="35"/>
        <v xml:space="preserve"> </v>
      </c>
    </row>
    <row r="1525" spans="5:6" hidden="1" x14ac:dyDescent="0.35">
      <c r="E1525" s="96" t="str">
        <f t="shared" si="35"/>
        <v xml:space="preserve"> </v>
      </c>
      <c r="F1525" s="96" t="str">
        <f t="shared" si="35"/>
        <v xml:space="preserve"> </v>
      </c>
    </row>
    <row r="1526" spans="5:6" hidden="1" x14ac:dyDescent="0.35">
      <c r="E1526" s="96" t="str">
        <f t="shared" si="35"/>
        <v xml:space="preserve"> </v>
      </c>
      <c r="F1526" s="96" t="str">
        <f t="shared" si="35"/>
        <v xml:space="preserve"> </v>
      </c>
    </row>
    <row r="1527" spans="5:6" hidden="1" x14ac:dyDescent="0.35">
      <c r="E1527" s="96" t="str">
        <f t="shared" si="35"/>
        <v xml:space="preserve"> </v>
      </c>
      <c r="F1527" s="96" t="str">
        <f t="shared" si="35"/>
        <v xml:space="preserve"> </v>
      </c>
    </row>
    <row r="1528" spans="5:6" hidden="1" x14ac:dyDescent="0.35">
      <c r="E1528" s="96" t="str">
        <f t="shared" si="35"/>
        <v xml:space="preserve"> </v>
      </c>
      <c r="F1528" s="96" t="str">
        <f t="shared" si="35"/>
        <v xml:space="preserve"> </v>
      </c>
    </row>
    <row r="1529" spans="5:6" hidden="1" x14ac:dyDescent="0.35">
      <c r="E1529" s="96" t="str">
        <f t="shared" si="35"/>
        <v xml:space="preserve"> </v>
      </c>
      <c r="F1529" s="96" t="str">
        <f t="shared" si="35"/>
        <v xml:space="preserve"> </v>
      </c>
    </row>
    <row r="1530" spans="5:6" hidden="1" x14ac:dyDescent="0.35">
      <c r="E1530" s="96" t="str">
        <f t="shared" si="35"/>
        <v xml:space="preserve"> </v>
      </c>
      <c r="F1530" s="96" t="str">
        <f t="shared" si="35"/>
        <v xml:space="preserve"> </v>
      </c>
    </row>
    <row r="1531" spans="5:6" hidden="1" x14ac:dyDescent="0.35">
      <c r="E1531" s="96" t="str">
        <f t="shared" si="35"/>
        <v xml:space="preserve"> </v>
      </c>
      <c r="F1531" s="96" t="str">
        <f t="shared" si="35"/>
        <v xml:space="preserve"> </v>
      </c>
    </row>
    <row r="1532" spans="5:6" hidden="1" x14ac:dyDescent="0.35">
      <c r="E1532" s="96" t="str">
        <f t="shared" si="35"/>
        <v xml:space="preserve"> </v>
      </c>
      <c r="F1532" s="96" t="str">
        <f t="shared" si="35"/>
        <v xml:space="preserve"> </v>
      </c>
    </row>
    <row r="1533" spans="5:6" hidden="1" x14ac:dyDescent="0.35">
      <c r="E1533" s="96" t="str">
        <f t="shared" si="35"/>
        <v xml:space="preserve"> </v>
      </c>
      <c r="F1533" s="96" t="str">
        <f t="shared" si="35"/>
        <v xml:space="preserve"> </v>
      </c>
    </row>
    <row r="1534" spans="5:6" hidden="1" x14ac:dyDescent="0.35">
      <c r="E1534" s="96" t="str">
        <f t="shared" si="35"/>
        <v xml:space="preserve"> </v>
      </c>
      <c r="F1534" s="96" t="str">
        <f t="shared" si="35"/>
        <v xml:space="preserve"> </v>
      </c>
    </row>
    <row r="1535" spans="5:6" hidden="1" x14ac:dyDescent="0.35">
      <c r="E1535" s="96" t="str">
        <f t="shared" si="35"/>
        <v xml:space="preserve"> </v>
      </c>
      <c r="F1535" s="96" t="str">
        <f t="shared" si="35"/>
        <v xml:space="preserve"> </v>
      </c>
    </row>
    <row r="1536" spans="5:6" hidden="1" x14ac:dyDescent="0.35">
      <c r="E1536" s="96" t="str">
        <f t="shared" si="35"/>
        <v xml:space="preserve"> </v>
      </c>
      <c r="F1536" s="96" t="str">
        <f t="shared" si="35"/>
        <v xml:space="preserve"> </v>
      </c>
    </row>
    <row r="1537" spans="5:6" hidden="1" x14ac:dyDescent="0.35">
      <c r="E1537" s="96" t="str">
        <f t="shared" si="35"/>
        <v xml:space="preserve"> </v>
      </c>
      <c r="F1537" s="96" t="str">
        <f t="shared" si="35"/>
        <v xml:space="preserve"> </v>
      </c>
    </row>
    <row r="1538" spans="5:6" hidden="1" x14ac:dyDescent="0.35">
      <c r="E1538" s="96" t="str">
        <f t="shared" si="35"/>
        <v xml:space="preserve"> </v>
      </c>
      <c r="F1538" s="96" t="str">
        <f t="shared" si="35"/>
        <v xml:space="preserve"> </v>
      </c>
    </row>
    <row r="1539" spans="5:6" hidden="1" x14ac:dyDescent="0.35">
      <c r="E1539" s="96" t="str">
        <f t="shared" si="35"/>
        <v xml:space="preserve"> </v>
      </c>
      <c r="F1539" s="96" t="str">
        <f t="shared" si="35"/>
        <v xml:space="preserve"> </v>
      </c>
    </row>
    <row r="1540" spans="5:6" hidden="1" x14ac:dyDescent="0.35">
      <c r="E1540" s="96" t="str">
        <f t="shared" si="35"/>
        <v xml:space="preserve"> </v>
      </c>
      <c r="F1540" s="96" t="str">
        <f t="shared" si="35"/>
        <v xml:space="preserve"> </v>
      </c>
    </row>
    <row r="1541" spans="5:6" hidden="1" x14ac:dyDescent="0.35">
      <c r="E1541" s="96" t="str">
        <f t="shared" si="35"/>
        <v xml:space="preserve"> </v>
      </c>
      <c r="F1541" s="96" t="str">
        <f t="shared" si="35"/>
        <v xml:space="preserve"> </v>
      </c>
    </row>
    <row r="1542" spans="5:6" hidden="1" x14ac:dyDescent="0.35">
      <c r="E1542" s="96" t="str">
        <f t="shared" si="35"/>
        <v xml:space="preserve"> </v>
      </c>
      <c r="F1542" s="96" t="str">
        <f t="shared" si="35"/>
        <v xml:space="preserve"> </v>
      </c>
    </row>
    <row r="1543" spans="5:6" hidden="1" x14ac:dyDescent="0.35">
      <c r="E1543" s="96" t="str">
        <f t="shared" si="35"/>
        <v xml:space="preserve"> </v>
      </c>
      <c r="F1543" s="96" t="str">
        <f t="shared" si="35"/>
        <v xml:space="preserve"> </v>
      </c>
    </row>
    <row r="1544" spans="5:6" hidden="1" x14ac:dyDescent="0.35">
      <c r="E1544" s="96" t="str">
        <f t="shared" si="35"/>
        <v xml:space="preserve"> </v>
      </c>
      <c r="F1544" s="96" t="str">
        <f t="shared" si="35"/>
        <v xml:space="preserve"> </v>
      </c>
    </row>
    <row r="1545" spans="5:6" hidden="1" x14ac:dyDescent="0.35">
      <c r="E1545" s="96" t="str">
        <f t="shared" si="35"/>
        <v xml:space="preserve"> </v>
      </c>
      <c r="F1545" s="96" t="str">
        <f t="shared" si="35"/>
        <v xml:space="preserve"> </v>
      </c>
    </row>
    <row r="1546" spans="5:6" hidden="1" x14ac:dyDescent="0.35">
      <c r="E1546" s="96" t="str">
        <f t="shared" si="35"/>
        <v xml:space="preserve"> </v>
      </c>
      <c r="F1546" s="96" t="str">
        <f t="shared" si="35"/>
        <v xml:space="preserve"> </v>
      </c>
    </row>
    <row r="1547" spans="5:6" hidden="1" x14ac:dyDescent="0.35">
      <c r="E1547" s="96" t="str">
        <f t="shared" si="35"/>
        <v xml:space="preserve"> </v>
      </c>
      <c r="F1547" s="96" t="str">
        <f t="shared" si="35"/>
        <v xml:space="preserve"> </v>
      </c>
    </row>
    <row r="1548" spans="5:6" hidden="1" x14ac:dyDescent="0.35">
      <c r="E1548" s="96" t="str">
        <f t="shared" si="35"/>
        <v xml:space="preserve"> </v>
      </c>
      <c r="F1548" s="96" t="str">
        <f t="shared" si="35"/>
        <v xml:space="preserve"> </v>
      </c>
    </row>
    <row r="1549" spans="5:6" hidden="1" x14ac:dyDescent="0.35">
      <c r="E1549" s="96" t="str">
        <f t="shared" si="35"/>
        <v xml:space="preserve"> </v>
      </c>
      <c r="F1549" s="96" t="str">
        <f t="shared" si="35"/>
        <v xml:space="preserve"> </v>
      </c>
    </row>
    <row r="1550" spans="5:6" hidden="1" x14ac:dyDescent="0.35">
      <c r="E1550" s="96" t="str">
        <f t="shared" si="35"/>
        <v xml:space="preserve"> </v>
      </c>
      <c r="F1550" s="96" t="str">
        <f t="shared" si="35"/>
        <v xml:space="preserve"> </v>
      </c>
    </row>
    <row r="1551" spans="5:6" hidden="1" x14ac:dyDescent="0.35">
      <c r="E1551" s="96" t="str">
        <f t="shared" si="35"/>
        <v xml:space="preserve"> </v>
      </c>
      <c r="F1551" s="96" t="str">
        <f t="shared" si="35"/>
        <v xml:space="preserve"> </v>
      </c>
    </row>
    <row r="1552" spans="5:6" hidden="1" x14ac:dyDescent="0.35">
      <c r="E1552" s="96" t="str">
        <f t="shared" si="35"/>
        <v xml:space="preserve"> </v>
      </c>
      <c r="F1552" s="96" t="str">
        <f t="shared" si="35"/>
        <v xml:space="preserve"> </v>
      </c>
    </row>
    <row r="1553" spans="5:6" hidden="1" x14ac:dyDescent="0.35">
      <c r="E1553" s="96" t="str">
        <f t="shared" si="35"/>
        <v xml:space="preserve"> </v>
      </c>
      <c r="F1553" s="96" t="str">
        <f t="shared" si="35"/>
        <v xml:space="preserve"> </v>
      </c>
    </row>
    <row r="1554" spans="5:6" hidden="1" x14ac:dyDescent="0.35">
      <c r="E1554" s="96" t="str">
        <f t="shared" si="35"/>
        <v xml:space="preserve"> </v>
      </c>
      <c r="F1554" s="96" t="str">
        <f t="shared" si="35"/>
        <v xml:space="preserve"> </v>
      </c>
    </row>
    <row r="1555" spans="5:6" hidden="1" x14ac:dyDescent="0.35">
      <c r="E1555" s="96" t="str">
        <f t="shared" si="35"/>
        <v xml:space="preserve"> </v>
      </c>
      <c r="F1555" s="96" t="str">
        <f t="shared" si="35"/>
        <v xml:space="preserve"> </v>
      </c>
    </row>
    <row r="1556" spans="5:6" hidden="1" x14ac:dyDescent="0.35">
      <c r="E1556" s="96" t="str">
        <f t="shared" si="35"/>
        <v xml:space="preserve"> </v>
      </c>
      <c r="F1556" s="96" t="str">
        <f t="shared" si="35"/>
        <v xml:space="preserve"> </v>
      </c>
    </row>
    <row r="1557" spans="5:6" hidden="1" x14ac:dyDescent="0.35">
      <c r="E1557" s="96" t="str">
        <f t="shared" si="35"/>
        <v xml:space="preserve"> </v>
      </c>
      <c r="F1557" s="96" t="str">
        <f t="shared" si="35"/>
        <v xml:space="preserve"> </v>
      </c>
    </row>
    <row r="1558" spans="5:6" hidden="1" x14ac:dyDescent="0.35">
      <c r="E1558" s="96" t="str">
        <f t="shared" si="35"/>
        <v xml:space="preserve"> </v>
      </c>
      <c r="F1558" s="96" t="str">
        <f t="shared" si="35"/>
        <v xml:space="preserve"> </v>
      </c>
    </row>
    <row r="1559" spans="5:6" hidden="1" x14ac:dyDescent="0.35">
      <c r="E1559" s="96" t="str">
        <f t="shared" ref="E1559:F1622" si="36">IF((IFERROR(C1559/C1558-1," "))=-1," ",IFERROR(C1559/C1558-1," "))</f>
        <v xml:space="preserve"> </v>
      </c>
      <c r="F1559" s="96" t="str">
        <f t="shared" si="36"/>
        <v xml:space="preserve"> </v>
      </c>
    </row>
    <row r="1560" spans="5:6" hidden="1" x14ac:dyDescent="0.35">
      <c r="E1560" s="96" t="str">
        <f t="shared" si="36"/>
        <v xml:space="preserve"> </v>
      </c>
      <c r="F1560" s="96" t="str">
        <f t="shared" si="36"/>
        <v xml:space="preserve"> </v>
      </c>
    </row>
    <row r="1561" spans="5:6" hidden="1" x14ac:dyDescent="0.35">
      <c r="E1561" s="96" t="str">
        <f t="shared" si="36"/>
        <v xml:space="preserve"> </v>
      </c>
      <c r="F1561" s="96" t="str">
        <f t="shared" si="36"/>
        <v xml:space="preserve"> </v>
      </c>
    </row>
    <row r="1562" spans="5:6" hidden="1" x14ac:dyDescent="0.35">
      <c r="E1562" s="96" t="str">
        <f t="shared" si="36"/>
        <v xml:space="preserve"> </v>
      </c>
      <c r="F1562" s="96" t="str">
        <f t="shared" si="36"/>
        <v xml:space="preserve"> </v>
      </c>
    </row>
    <row r="1563" spans="5:6" hidden="1" x14ac:dyDescent="0.35">
      <c r="E1563" s="96" t="str">
        <f t="shared" si="36"/>
        <v xml:space="preserve"> </v>
      </c>
      <c r="F1563" s="96" t="str">
        <f t="shared" si="36"/>
        <v xml:space="preserve"> </v>
      </c>
    </row>
    <row r="1564" spans="5:6" hidden="1" x14ac:dyDescent="0.35">
      <c r="E1564" s="96" t="str">
        <f t="shared" si="36"/>
        <v xml:space="preserve"> </v>
      </c>
      <c r="F1564" s="96" t="str">
        <f t="shared" si="36"/>
        <v xml:space="preserve"> </v>
      </c>
    </row>
    <row r="1565" spans="5:6" hidden="1" x14ac:dyDescent="0.35">
      <c r="E1565" s="96" t="str">
        <f t="shared" si="36"/>
        <v xml:space="preserve"> </v>
      </c>
      <c r="F1565" s="96" t="str">
        <f t="shared" si="36"/>
        <v xml:space="preserve"> </v>
      </c>
    </row>
    <row r="1566" spans="5:6" hidden="1" x14ac:dyDescent="0.35">
      <c r="E1566" s="96" t="str">
        <f t="shared" si="36"/>
        <v xml:space="preserve"> </v>
      </c>
      <c r="F1566" s="96" t="str">
        <f t="shared" si="36"/>
        <v xml:space="preserve"> </v>
      </c>
    </row>
    <row r="1567" spans="5:6" hidden="1" x14ac:dyDescent="0.35">
      <c r="E1567" s="96" t="str">
        <f t="shared" si="36"/>
        <v xml:space="preserve"> </v>
      </c>
      <c r="F1567" s="96" t="str">
        <f t="shared" si="36"/>
        <v xml:space="preserve"> </v>
      </c>
    </row>
    <row r="1568" spans="5:6" hidden="1" x14ac:dyDescent="0.35">
      <c r="E1568" s="96" t="str">
        <f t="shared" si="36"/>
        <v xml:space="preserve"> </v>
      </c>
      <c r="F1568" s="96" t="str">
        <f t="shared" si="36"/>
        <v xml:space="preserve"> </v>
      </c>
    </row>
    <row r="1569" spans="5:6" hidden="1" x14ac:dyDescent="0.35">
      <c r="E1569" s="96" t="str">
        <f t="shared" si="36"/>
        <v xml:space="preserve"> </v>
      </c>
      <c r="F1569" s="96" t="str">
        <f t="shared" si="36"/>
        <v xml:space="preserve"> </v>
      </c>
    </row>
    <row r="1570" spans="5:6" hidden="1" x14ac:dyDescent="0.35">
      <c r="E1570" s="96" t="str">
        <f t="shared" si="36"/>
        <v xml:space="preserve"> </v>
      </c>
      <c r="F1570" s="96" t="str">
        <f t="shared" si="36"/>
        <v xml:space="preserve"> </v>
      </c>
    </row>
    <row r="1571" spans="5:6" hidden="1" x14ac:dyDescent="0.35">
      <c r="E1571" s="96" t="str">
        <f t="shared" si="36"/>
        <v xml:space="preserve"> </v>
      </c>
      <c r="F1571" s="96" t="str">
        <f t="shared" si="36"/>
        <v xml:space="preserve"> </v>
      </c>
    </row>
    <row r="1572" spans="5:6" hidden="1" x14ac:dyDescent="0.35">
      <c r="E1572" s="96" t="str">
        <f t="shared" si="36"/>
        <v xml:space="preserve"> </v>
      </c>
      <c r="F1572" s="96" t="str">
        <f t="shared" si="36"/>
        <v xml:space="preserve"> </v>
      </c>
    </row>
    <row r="1573" spans="5:6" hidden="1" x14ac:dyDescent="0.35">
      <c r="E1573" s="96" t="str">
        <f t="shared" si="36"/>
        <v xml:space="preserve"> </v>
      </c>
      <c r="F1573" s="96" t="str">
        <f t="shared" si="36"/>
        <v xml:space="preserve"> </v>
      </c>
    </row>
    <row r="1574" spans="5:6" hidden="1" x14ac:dyDescent="0.35">
      <c r="E1574" s="96" t="str">
        <f t="shared" si="36"/>
        <v xml:space="preserve"> </v>
      </c>
      <c r="F1574" s="96" t="str">
        <f t="shared" si="36"/>
        <v xml:space="preserve"> </v>
      </c>
    </row>
    <row r="1575" spans="5:6" hidden="1" x14ac:dyDescent="0.35">
      <c r="E1575" s="96" t="str">
        <f t="shared" si="36"/>
        <v xml:space="preserve"> </v>
      </c>
      <c r="F1575" s="96" t="str">
        <f t="shared" si="36"/>
        <v xml:space="preserve"> </v>
      </c>
    </row>
    <row r="1576" spans="5:6" hidden="1" x14ac:dyDescent="0.35">
      <c r="E1576" s="96" t="str">
        <f t="shared" si="36"/>
        <v xml:space="preserve"> </v>
      </c>
      <c r="F1576" s="96" t="str">
        <f t="shared" si="36"/>
        <v xml:space="preserve"> </v>
      </c>
    </row>
    <row r="1577" spans="5:6" hidden="1" x14ac:dyDescent="0.35">
      <c r="E1577" s="96" t="str">
        <f t="shared" si="36"/>
        <v xml:space="preserve"> </v>
      </c>
      <c r="F1577" s="96" t="str">
        <f t="shared" si="36"/>
        <v xml:space="preserve"> </v>
      </c>
    </row>
    <row r="1578" spans="5:6" hidden="1" x14ac:dyDescent="0.35">
      <c r="E1578" s="96" t="str">
        <f t="shared" si="36"/>
        <v xml:space="preserve"> </v>
      </c>
      <c r="F1578" s="96" t="str">
        <f t="shared" si="36"/>
        <v xml:space="preserve"> </v>
      </c>
    </row>
    <row r="1579" spans="5:6" hidden="1" x14ac:dyDescent="0.35">
      <c r="E1579" s="96" t="str">
        <f t="shared" si="36"/>
        <v xml:space="preserve"> </v>
      </c>
      <c r="F1579" s="96" t="str">
        <f t="shared" si="36"/>
        <v xml:space="preserve"> </v>
      </c>
    </row>
    <row r="1580" spans="5:6" hidden="1" x14ac:dyDescent="0.35">
      <c r="E1580" s="96" t="str">
        <f t="shared" si="36"/>
        <v xml:space="preserve"> </v>
      </c>
      <c r="F1580" s="96" t="str">
        <f t="shared" si="36"/>
        <v xml:space="preserve"> </v>
      </c>
    </row>
    <row r="1581" spans="5:6" hidden="1" x14ac:dyDescent="0.35">
      <c r="E1581" s="96" t="str">
        <f t="shared" si="36"/>
        <v xml:space="preserve"> </v>
      </c>
      <c r="F1581" s="96" t="str">
        <f t="shared" si="36"/>
        <v xml:space="preserve"> </v>
      </c>
    </row>
    <row r="1582" spans="5:6" hidden="1" x14ac:dyDescent="0.35">
      <c r="E1582" s="96" t="str">
        <f t="shared" si="36"/>
        <v xml:space="preserve"> </v>
      </c>
      <c r="F1582" s="96" t="str">
        <f t="shared" si="36"/>
        <v xml:space="preserve"> </v>
      </c>
    </row>
    <row r="1583" spans="5:6" hidden="1" x14ac:dyDescent="0.35">
      <c r="E1583" s="96" t="str">
        <f t="shared" si="36"/>
        <v xml:space="preserve"> </v>
      </c>
      <c r="F1583" s="96" t="str">
        <f t="shared" si="36"/>
        <v xml:space="preserve"> </v>
      </c>
    </row>
    <row r="1584" spans="5:6" hidden="1" x14ac:dyDescent="0.35">
      <c r="E1584" s="96" t="str">
        <f t="shared" si="36"/>
        <v xml:space="preserve"> </v>
      </c>
      <c r="F1584" s="96" t="str">
        <f t="shared" si="36"/>
        <v xml:space="preserve"> </v>
      </c>
    </row>
    <row r="1585" spans="5:6" hidden="1" x14ac:dyDescent="0.35">
      <c r="E1585" s="96" t="str">
        <f t="shared" si="36"/>
        <v xml:space="preserve"> </v>
      </c>
      <c r="F1585" s="96" t="str">
        <f t="shared" si="36"/>
        <v xml:space="preserve"> </v>
      </c>
    </row>
    <row r="1586" spans="5:6" hidden="1" x14ac:dyDescent="0.35">
      <c r="E1586" s="96" t="str">
        <f t="shared" si="36"/>
        <v xml:space="preserve"> </v>
      </c>
      <c r="F1586" s="96" t="str">
        <f t="shared" si="36"/>
        <v xml:space="preserve"> </v>
      </c>
    </row>
    <row r="1587" spans="5:6" hidden="1" x14ac:dyDescent="0.35">
      <c r="E1587" s="96" t="str">
        <f t="shared" si="36"/>
        <v xml:space="preserve"> </v>
      </c>
      <c r="F1587" s="96" t="str">
        <f t="shared" si="36"/>
        <v xml:space="preserve"> </v>
      </c>
    </row>
    <row r="1588" spans="5:6" hidden="1" x14ac:dyDescent="0.35">
      <c r="E1588" s="96" t="str">
        <f t="shared" si="36"/>
        <v xml:space="preserve"> </v>
      </c>
      <c r="F1588" s="96" t="str">
        <f t="shared" si="36"/>
        <v xml:space="preserve"> </v>
      </c>
    </row>
    <row r="1589" spans="5:6" hidden="1" x14ac:dyDescent="0.35">
      <c r="E1589" s="96" t="str">
        <f t="shared" si="36"/>
        <v xml:space="preserve"> </v>
      </c>
      <c r="F1589" s="96" t="str">
        <f t="shared" si="36"/>
        <v xml:space="preserve"> </v>
      </c>
    </row>
    <row r="1590" spans="5:6" hidden="1" x14ac:dyDescent="0.35">
      <c r="E1590" s="96" t="str">
        <f t="shared" si="36"/>
        <v xml:space="preserve"> </v>
      </c>
      <c r="F1590" s="96" t="str">
        <f t="shared" si="36"/>
        <v xml:space="preserve"> </v>
      </c>
    </row>
    <row r="1591" spans="5:6" hidden="1" x14ac:dyDescent="0.35">
      <c r="E1591" s="96" t="str">
        <f t="shared" si="36"/>
        <v xml:space="preserve"> </v>
      </c>
      <c r="F1591" s="96" t="str">
        <f t="shared" si="36"/>
        <v xml:space="preserve"> </v>
      </c>
    </row>
    <row r="1592" spans="5:6" hidden="1" x14ac:dyDescent="0.35">
      <c r="E1592" s="96" t="str">
        <f t="shared" si="36"/>
        <v xml:space="preserve"> </v>
      </c>
      <c r="F1592" s="96" t="str">
        <f t="shared" si="36"/>
        <v xml:space="preserve"> </v>
      </c>
    </row>
    <row r="1593" spans="5:6" hidden="1" x14ac:dyDescent="0.35">
      <c r="E1593" s="96" t="str">
        <f t="shared" si="36"/>
        <v xml:space="preserve"> </v>
      </c>
      <c r="F1593" s="96" t="str">
        <f t="shared" si="36"/>
        <v xml:space="preserve"> </v>
      </c>
    </row>
    <row r="1594" spans="5:6" hidden="1" x14ac:dyDescent="0.35">
      <c r="E1594" s="96" t="str">
        <f t="shared" si="36"/>
        <v xml:space="preserve"> </v>
      </c>
      <c r="F1594" s="96" t="str">
        <f t="shared" si="36"/>
        <v xml:space="preserve"> </v>
      </c>
    </row>
    <row r="1595" spans="5:6" hidden="1" x14ac:dyDescent="0.35">
      <c r="E1595" s="96" t="str">
        <f t="shared" si="36"/>
        <v xml:space="preserve"> </v>
      </c>
      <c r="F1595" s="96" t="str">
        <f t="shared" si="36"/>
        <v xml:space="preserve"> </v>
      </c>
    </row>
    <row r="1596" spans="5:6" hidden="1" x14ac:dyDescent="0.35">
      <c r="E1596" s="96" t="str">
        <f t="shared" si="36"/>
        <v xml:space="preserve"> </v>
      </c>
      <c r="F1596" s="96" t="str">
        <f t="shared" si="36"/>
        <v xml:space="preserve"> </v>
      </c>
    </row>
    <row r="1597" spans="5:6" hidden="1" x14ac:dyDescent="0.35">
      <c r="E1597" s="96" t="str">
        <f t="shared" si="36"/>
        <v xml:space="preserve"> </v>
      </c>
      <c r="F1597" s="96" t="str">
        <f t="shared" si="36"/>
        <v xml:space="preserve"> </v>
      </c>
    </row>
    <row r="1598" spans="5:6" hidden="1" x14ac:dyDescent="0.35">
      <c r="E1598" s="96" t="str">
        <f t="shared" si="36"/>
        <v xml:space="preserve"> </v>
      </c>
      <c r="F1598" s="96" t="str">
        <f t="shared" si="36"/>
        <v xml:space="preserve"> </v>
      </c>
    </row>
    <row r="1599" spans="5:6" hidden="1" x14ac:dyDescent="0.35">
      <c r="E1599" s="96" t="str">
        <f t="shared" si="36"/>
        <v xml:space="preserve"> </v>
      </c>
      <c r="F1599" s="96" t="str">
        <f t="shared" si="36"/>
        <v xml:space="preserve"> </v>
      </c>
    </row>
    <row r="1600" spans="5:6" hidden="1" x14ac:dyDescent="0.35">
      <c r="E1600" s="96" t="str">
        <f t="shared" si="36"/>
        <v xml:space="preserve"> </v>
      </c>
      <c r="F1600" s="96" t="str">
        <f t="shared" si="36"/>
        <v xml:space="preserve"> </v>
      </c>
    </row>
    <row r="1601" spans="5:6" hidden="1" x14ac:dyDescent="0.35">
      <c r="E1601" s="96" t="str">
        <f t="shared" si="36"/>
        <v xml:space="preserve"> </v>
      </c>
      <c r="F1601" s="96" t="str">
        <f t="shared" si="36"/>
        <v xml:space="preserve"> </v>
      </c>
    </row>
    <row r="1602" spans="5:6" hidden="1" x14ac:dyDescent="0.35">
      <c r="E1602" s="96" t="str">
        <f t="shared" si="36"/>
        <v xml:space="preserve"> </v>
      </c>
      <c r="F1602" s="96" t="str">
        <f t="shared" si="36"/>
        <v xml:space="preserve"> </v>
      </c>
    </row>
    <row r="1603" spans="5:6" hidden="1" x14ac:dyDescent="0.35">
      <c r="E1603" s="96" t="str">
        <f t="shared" si="36"/>
        <v xml:space="preserve"> </v>
      </c>
      <c r="F1603" s="96" t="str">
        <f t="shared" si="36"/>
        <v xml:space="preserve"> </v>
      </c>
    </row>
    <row r="1604" spans="5:6" hidden="1" x14ac:dyDescent="0.35">
      <c r="E1604" s="96" t="str">
        <f t="shared" si="36"/>
        <v xml:space="preserve"> </v>
      </c>
      <c r="F1604" s="96" t="str">
        <f t="shared" si="36"/>
        <v xml:space="preserve"> </v>
      </c>
    </row>
    <row r="1605" spans="5:6" hidden="1" x14ac:dyDescent="0.35">
      <c r="E1605" s="96" t="str">
        <f t="shared" si="36"/>
        <v xml:space="preserve"> </v>
      </c>
      <c r="F1605" s="96" t="str">
        <f t="shared" si="36"/>
        <v xml:space="preserve"> </v>
      </c>
    </row>
    <row r="1606" spans="5:6" hidden="1" x14ac:dyDescent="0.35">
      <c r="E1606" s="96" t="str">
        <f t="shared" si="36"/>
        <v xml:space="preserve"> </v>
      </c>
      <c r="F1606" s="96" t="str">
        <f t="shared" si="36"/>
        <v xml:space="preserve"> </v>
      </c>
    </row>
    <row r="1607" spans="5:6" hidden="1" x14ac:dyDescent="0.35">
      <c r="E1607" s="96" t="str">
        <f t="shared" si="36"/>
        <v xml:space="preserve"> </v>
      </c>
      <c r="F1607" s="96" t="str">
        <f t="shared" si="36"/>
        <v xml:space="preserve"> </v>
      </c>
    </row>
    <row r="1608" spans="5:6" hidden="1" x14ac:dyDescent="0.35">
      <c r="E1608" s="96" t="str">
        <f t="shared" si="36"/>
        <v xml:space="preserve"> </v>
      </c>
      <c r="F1608" s="96" t="str">
        <f t="shared" si="36"/>
        <v xml:space="preserve"> </v>
      </c>
    </row>
    <row r="1609" spans="5:6" hidden="1" x14ac:dyDescent="0.35">
      <c r="E1609" s="96" t="str">
        <f t="shared" si="36"/>
        <v xml:space="preserve"> </v>
      </c>
      <c r="F1609" s="96" t="str">
        <f t="shared" si="36"/>
        <v xml:space="preserve"> </v>
      </c>
    </row>
    <row r="1610" spans="5:6" hidden="1" x14ac:dyDescent="0.35">
      <c r="E1610" s="96" t="str">
        <f t="shared" si="36"/>
        <v xml:space="preserve"> </v>
      </c>
      <c r="F1610" s="96" t="str">
        <f t="shared" si="36"/>
        <v xml:space="preserve"> </v>
      </c>
    </row>
    <row r="1611" spans="5:6" hidden="1" x14ac:dyDescent="0.35">
      <c r="E1611" s="96" t="str">
        <f t="shared" si="36"/>
        <v xml:space="preserve"> </v>
      </c>
      <c r="F1611" s="96" t="str">
        <f t="shared" si="36"/>
        <v xml:space="preserve"> </v>
      </c>
    </row>
    <row r="1612" spans="5:6" hidden="1" x14ac:dyDescent="0.35">
      <c r="E1612" s="96" t="str">
        <f t="shared" si="36"/>
        <v xml:space="preserve"> </v>
      </c>
      <c r="F1612" s="96" t="str">
        <f t="shared" si="36"/>
        <v xml:space="preserve"> </v>
      </c>
    </row>
    <row r="1613" spans="5:6" hidden="1" x14ac:dyDescent="0.35">
      <c r="E1613" s="96" t="str">
        <f t="shared" si="36"/>
        <v xml:space="preserve"> </v>
      </c>
      <c r="F1613" s="96" t="str">
        <f t="shared" si="36"/>
        <v xml:space="preserve"> </v>
      </c>
    </row>
    <row r="1614" spans="5:6" hidden="1" x14ac:dyDescent="0.35">
      <c r="E1614" s="96" t="str">
        <f t="shared" si="36"/>
        <v xml:space="preserve"> </v>
      </c>
      <c r="F1614" s="96" t="str">
        <f t="shared" si="36"/>
        <v xml:space="preserve"> </v>
      </c>
    </row>
    <row r="1615" spans="5:6" hidden="1" x14ac:dyDescent="0.35">
      <c r="E1615" s="96" t="str">
        <f t="shared" si="36"/>
        <v xml:space="preserve"> </v>
      </c>
      <c r="F1615" s="96" t="str">
        <f t="shared" si="36"/>
        <v xml:space="preserve"> </v>
      </c>
    </row>
    <row r="1616" spans="5:6" hidden="1" x14ac:dyDescent="0.35">
      <c r="E1616" s="96" t="str">
        <f t="shared" si="36"/>
        <v xml:space="preserve"> </v>
      </c>
      <c r="F1616" s="96" t="str">
        <f t="shared" si="36"/>
        <v xml:space="preserve"> </v>
      </c>
    </row>
    <row r="1617" spans="5:6" hidden="1" x14ac:dyDescent="0.35">
      <c r="E1617" s="96" t="str">
        <f t="shared" si="36"/>
        <v xml:space="preserve"> </v>
      </c>
      <c r="F1617" s="96" t="str">
        <f t="shared" si="36"/>
        <v xml:space="preserve"> </v>
      </c>
    </row>
    <row r="1618" spans="5:6" hidden="1" x14ac:dyDescent="0.35">
      <c r="E1618" s="96" t="str">
        <f t="shared" si="36"/>
        <v xml:space="preserve"> </v>
      </c>
      <c r="F1618" s="96" t="str">
        <f t="shared" si="36"/>
        <v xml:space="preserve"> </v>
      </c>
    </row>
    <row r="1619" spans="5:6" hidden="1" x14ac:dyDescent="0.35">
      <c r="E1619" s="96" t="str">
        <f t="shared" si="36"/>
        <v xml:space="preserve"> </v>
      </c>
      <c r="F1619" s="96" t="str">
        <f t="shared" si="36"/>
        <v xml:space="preserve"> </v>
      </c>
    </row>
    <row r="1620" spans="5:6" hidden="1" x14ac:dyDescent="0.35">
      <c r="E1620" s="96" t="str">
        <f t="shared" si="36"/>
        <v xml:space="preserve"> </v>
      </c>
      <c r="F1620" s="96" t="str">
        <f t="shared" si="36"/>
        <v xml:space="preserve"> </v>
      </c>
    </row>
    <row r="1621" spans="5:6" hidden="1" x14ac:dyDescent="0.35">
      <c r="E1621" s="96" t="str">
        <f t="shared" si="36"/>
        <v xml:space="preserve"> </v>
      </c>
      <c r="F1621" s="96" t="str">
        <f t="shared" si="36"/>
        <v xml:space="preserve"> </v>
      </c>
    </row>
    <row r="1622" spans="5:6" hidden="1" x14ac:dyDescent="0.35">
      <c r="E1622" s="96" t="str">
        <f t="shared" si="36"/>
        <v xml:space="preserve"> </v>
      </c>
      <c r="F1622" s="96" t="str">
        <f t="shared" si="36"/>
        <v xml:space="preserve"> </v>
      </c>
    </row>
    <row r="1623" spans="5:6" hidden="1" x14ac:dyDescent="0.35">
      <c r="E1623" s="96" t="str">
        <f t="shared" ref="E1623:F1686" si="37">IF((IFERROR(C1623/C1622-1," "))=-1," ",IFERROR(C1623/C1622-1," "))</f>
        <v xml:space="preserve"> </v>
      </c>
      <c r="F1623" s="96" t="str">
        <f t="shared" si="37"/>
        <v xml:space="preserve"> </v>
      </c>
    </row>
    <row r="1624" spans="5:6" hidden="1" x14ac:dyDescent="0.35">
      <c r="E1624" s="96" t="str">
        <f t="shared" si="37"/>
        <v xml:space="preserve"> </v>
      </c>
      <c r="F1624" s="96" t="str">
        <f t="shared" si="37"/>
        <v xml:space="preserve"> </v>
      </c>
    </row>
    <row r="1625" spans="5:6" hidden="1" x14ac:dyDescent="0.35">
      <c r="E1625" s="96" t="str">
        <f t="shared" si="37"/>
        <v xml:space="preserve"> </v>
      </c>
      <c r="F1625" s="96" t="str">
        <f t="shared" si="37"/>
        <v xml:space="preserve"> </v>
      </c>
    </row>
    <row r="1626" spans="5:6" hidden="1" x14ac:dyDescent="0.35">
      <c r="E1626" s="96" t="str">
        <f t="shared" si="37"/>
        <v xml:space="preserve"> </v>
      </c>
      <c r="F1626" s="96" t="str">
        <f t="shared" si="37"/>
        <v xml:space="preserve"> </v>
      </c>
    </row>
    <row r="1627" spans="5:6" hidden="1" x14ac:dyDescent="0.35">
      <c r="E1627" s="96" t="str">
        <f t="shared" si="37"/>
        <v xml:space="preserve"> </v>
      </c>
      <c r="F1627" s="96" t="str">
        <f t="shared" si="37"/>
        <v xml:space="preserve"> </v>
      </c>
    </row>
    <row r="1628" spans="5:6" hidden="1" x14ac:dyDescent="0.35">
      <c r="E1628" s="96" t="str">
        <f t="shared" si="37"/>
        <v xml:space="preserve"> </v>
      </c>
      <c r="F1628" s="96" t="str">
        <f t="shared" si="37"/>
        <v xml:space="preserve"> </v>
      </c>
    </row>
    <row r="1629" spans="5:6" hidden="1" x14ac:dyDescent="0.35">
      <c r="E1629" s="96" t="str">
        <f t="shared" si="37"/>
        <v xml:space="preserve"> </v>
      </c>
      <c r="F1629" s="96" t="str">
        <f t="shared" si="37"/>
        <v xml:space="preserve"> </v>
      </c>
    </row>
    <row r="1630" spans="5:6" hidden="1" x14ac:dyDescent="0.35">
      <c r="E1630" s="96" t="str">
        <f t="shared" si="37"/>
        <v xml:space="preserve"> </v>
      </c>
      <c r="F1630" s="96" t="str">
        <f t="shared" si="37"/>
        <v xml:space="preserve"> </v>
      </c>
    </row>
    <row r="1631" spans="5:6" hidden="1" x14ac:dyDescent="0.35">
      <c r="E1631" s="96" t="str">
        <f t="shared" si="37"/>
        <v xml:space="preserve"> </v>
      </c>
      <c r="F1631" s="96" t="str">
        <f t="shared" si="37"/>
        <v xml:space="preserve"> </v>
      </c>
    </row>
    <row r="1632" spans="5:6" hidden="1" x14ac:dyDescent="0.35">
      <c r="E1632" s="96" t="str">
        <f t="shared" si="37"/>
        <v xml:space="preserve"> </v>
      </c>
      <c r="F1632" s="96" t="str">
        <f t="shared" si="37"/>
        <v xml:space="preserve"> </v>
      </c>
    </row>
    <row r="1633" spans="5:6" hidden="1" x14ac:dyDescent="0.35">
      <c r="E1633" s="96" t="str">
        <f t="shared" si="37"/>
        <v xml:space="preserve"> </v>
      </c>
      <c r="F1633" s="96" t="str">
        <f t="shared" si="37"/>
        <v xml:space="preserve"> </v>
      </c>
    </row>
    <row r="1634" spans="5:6" hidden="1" x14ac:dyDescent="0.35">
      <c r="E1634" s="96" t="str">
        <f t="shared" si="37"/>
        <v xml:space="preserve"> </v>
      </c>
      <c r="F1634" s="96" t="str">
        <f t="shared" si="37"/>
        <v xml:space="preserve"> </v>
      </c>
    </row>
    <row r="1635" spans="5:6" hidden="1" x14ac:dyDescent="0.35">
      <c r="E1635" s="96" t="str">
        <f t="shared" si="37"/>
        <v xml:space="preserve"> </v>
      </c>
      <c r="F1635" s="96" t="str">
        <f t="shared" si="37"/>
        <v xml:space="preserve"> </v>
      </c>
    </row>
    <row r="1636" spans="5:6" hidden="1" x14ac:dyDescent="0.35">
      <c r="E1636" s="96" t="str">
        <f t="shared" si="37"/>
        <v xml:space="preserve"> </v>
      </c>
      <c r="F1636" s="96" t="str">
        <f t="shared" si="37"/>
        <v xml:space="preserve"> </v>
      </c>
    </row>
    <row r="1637" spans="5:6" hidden="1" x14ac:dyDescent="0.35">
      <c r="E1637" s="96" t="str">
        <f t="shared" si="37"/>
        <v xml:space="preserve"> </v>
      </c>
      <c r="F1637" s="96" t="str">
        <f t="shared" si="37"/>
        <v xml:space="preserve"> </v>
      </c>
    </row>
    <row r="1638" spans="5:6" hidden="1" x14ac:dyDescent="0.35">
      <c r="E1638" s="96" t="str">
        <f t="shared" si="37"/>
        <v xml:space="preserve"> </v>
      </c>
      <c r="F1638" s="96" t="str">
        <f t="shared" si="37"/>
        <v xml:space="preserve"> </v>
      </c>
    </row>
    <row r="1639" spans="5:6" hidden="1" x14ac:dyDescent="0.35">
      <c r="E1639" s="96" t="str">
        <f t="shared" si="37"/>
        <v xml:space="preserve"> </v>
      </c>
      <c r="F1639" s="96" t="str">
        <f t="shared" si="37"/>
        <v xml:space="preserve"> </v>
      </c>
    </row>
    <row r="1640" spans="5:6" hidden="1" x14ac:dyDescent="0.35">
      <c r="E1640" s="96" t="str">
        <f t="shared" si="37"/>
        <v xml:space="preserve"> </v>
      </c>
      <c r="F1640" s="96" t="str">
        <f t="shared" si="37"/>
        <v xml:space="preserve"> </v>
      </c>
    </row>
    <row r="1641" spans="5:6" hidden="1" x14ac:dyDescent="0.35">
      <c r="E1641" s="96" t="str">
        <f t="shared" si="37"/>
        <v xml:space="preserve"> </v>
      </c>
      <c r="F1641" s="96" t="str">
        <f t="shared" si="37"/>
        <v xml:space="preserve"> </v>
      </c>
    </row>
    <row r="1642" spans="5:6" hidden="1" x14ac:dyDescent="0.35">
      <c r="E1642" s="96" t="str">
        <f t="shared" si="37"/>
        <v xml:space="preserve"> </v>
      </c>
      <c r="F1642" s="96" t="str">
        <f t="shared" si="37"/>
        <v xml:space="preserve"> </v>
      </c>
    </row>
    <row r="1643" spans="5:6" hidden="1" x14ac:dyDescent="0.35">
      <c r="E1643" s="96" t="str">
        <f t="shared" si="37"/>
        <v xml:space="preserve"> </v>
      </c>
      <c r="F1643" s="96" t="str">
        <f t="shared" si="37"/>
        <v xml:space="preserve"> </v>
      </c>
    </row>
    <row r="1644" spans="5:6" hidden="1" x14ac:dyDescent="0.35">
      <c r="E1644" s="96" t="str">
        <f t="shared" si="37"/>
        <v xml:space="preserve"> </v>
      </c>
      <c r="F1644" s="96" t="str">
        <f t="shared" si="37"/>
        <v xml:space="preserve"> </v>
      </c>
    </row>
    <row r="1645" spans="5:6" hidden="1" x14ac:dyDescent="0.35">
      <c r="E1645" s="96" t="str">
        <f t="shared" si="37"/>
        <v xml:space="preserve"> </v>
      </c>
      <c r="F1645" s="96" t="str">
        <f t="shared" si="37"/>
        <v xml:space="preserve"> </v>
      </c>
    </row>
    <row r="1646" spans="5:6" hidden="1" x14ac:dyDescent="0.35">
      <c r="E1646" s="96" t="str">
        <f t="shared" si="37"/>
        <v xml:space="preserve"> </v>
      </c>
      <c r="F1646" s="96" t="str">
        <f t="shared" si="37"/>
        <v xml:space="preserve"> </v>
      </c>
    </row>
    <row r="1647" spans="5:6" hidden="1" x14ac:dyDescent="0.35">
      <c r="E1647" s="96" t="str">
        <f t="shared" si="37"/>
        <v xml:space="preserve"> </v>
      </c>
      <c r="F1647" s="96" t="str">
        <f t="shared" si="37"/>
        <v xml:space="preserve"> </v>
      </c>
    </row>
    <row r="1648" spans="5:6" hidden="1" x14ac:dyDescent="0.35">
      <c r="E1648" s="96" t="str">
        <f t="shared" si="37"/>
        <v xml:space="preserve"> </v>
      </c>
      <c r="F1648" s="96" t="str">
        <f t="shared" si="37"/>
        <v xml:space="preserve"> </v>
      </c>
    </row>
    <row r="1649" spans="5:6" hidden="1" x14ac:dyDescent="0.35">
      <c r="E1649" s="96" t="str">
        <f t="shared" si="37"/>
        <v xml:space="preserve"> </v>
      </c>
      <c r="F1649" s="96" t="str">
        <f t="shared" si="37"/>
        <v xml:space="preserve"> </v>
      </c>
    </row>
    <row r="1650" spans="5:6" hidden="1" x14ac:dyDescent="0.35">
      <c r="E1650" s="96" t="str">
        <f t="shared" si="37"/>
        <v xml:space="preserve"> </v>
      </c>
      <c r="F1650" s="96" t="str">
        <f t="shared" si="37"/>
        <v xml:space="preserve"> </v>
      </c>
    </row>
    <row r="1651" spans="5:6" hidden="1" x14ac:dyDescent="0.35">
      <c r="E1651" s="96" t="str">
        <f t="shared" si="37"/>
        <v xml:space="preserve"> </v>
      </c>
      <c r="F1651" s="96" t="str">
        <f t="shared" si="37"/>
        <v xml:space="preserve"> </v>
      </c>
    </row>
    <row r="1652" spans="5:6" hidden="1" x14ac:dyDescent="0.35">
      <c r="E1652" s="96" t="str">
        <f t="shared" si="37"/>
        <v xml:space="preserve"> </v>
      </c>
      <c r="F1652" s="96" t="str">
        <f t="shared" si="37"/>
        <v xml:space="preserve"> </v>
      </c>
    </row>
    <row r="1653" spans="5:6" hidden="1" x14ac:dyDescent="0.35">
      <c r="E1653" s="96" t="str">
        <f t="shared" si="37"/>
        <v xml:space="preserve"> </v>
      </c>
      <c r="F1653" s="96" t="str">
        <f t="shared" si="37"/>
        <v xml:space="preserve"> </v>
      </c>
    </row>
    <row r="1654" spans="5:6" hidden="1" x14ac:dyDescent="0.35">
      <c r="E1654" s="96" t="str">
        <f t="shared" si="37"/>
        <v xml:space="preserve"> </v>
      </c>
      <c r="F1654" s="96" t="str">
        <f t="shared" si="37"/>
        <v xml:space="preserve"> </v>
      </c>
    </row>
    <row r="1655" spans="5:6" hidden="1" x14ac:dyDescent="0.35">
      <c r="E1655" s="96" t="str">
        <f t="shared" si="37"/>
        <v xml:space="preserve"> </v>
      </c>
      <c r="F1655" s="96" t="str">
        <f t="shared" si="37"/>
        <v xml:space="preserve"> </v>
      </c>
    </row>
    <row r="1656" spans="5:6" hidden="1" x14ac:dyDescent="0.35">
      <c r="E1656" s="96" t="str">
        <f t="shared" si="37"/>
        <v xml:space="preserve"> </v>
      </c>
      <c r="F1656" s="96" t="str">
        <f t="shared" si="37"/>
        <v xml:space="preserve"> </v>
      </c>
    </row>
    <row r="1657" spans="5:6" hidden="1" x14ac:dyDescent="0.35">
      <c r="E1657" s="96" t="str">
        <f t="shared" si="37"/>
        <v xml:space="preserve"> </v>
      </c>
      <c r="F1657" s="96" t="str">
        <f t="shared" si="37"/>
        <v xml:space="preserve"> </v>
      </c>
    </row>
    <row r="1658" spans="5:6" hidden="1" x14ac:dyDescent="0.35">
      <c r="E1658" s="96" t="str">
        <f t="shared" si="37"/>
        <v xml:space="preserve"> </v>
      </c>
      <c r="F1658" s="96" t="str">
        <f t="shared" si="37"/>
        <v xml:space="preserve"> </v>
      </c>
    </row>
    <row r="1659" spans="5:6" hidden="1" x14ac:dyDescent="0.35">
      <c r="E1659" s="96" t="str">
        <f t="shared" si="37"/>
        <v xml:space="preserve"> </v>
      </c>
      <c r="F1659" s="96" t="str">
        <f t="shared" si="37"/>
        <v xml:space="preserve"> </v>
      </c>
    </row>
    <row r="1660" spans="5:6" hidden="1" x14ac:dyDescent="0.35">
      <c r="E1660" s="96" t="str">
        <f t="shared" si="37"/>
        <v xml:space="preserve"> </v>
      </c>
      <c r="F1660" s="96" t="str">
        <f t="shared" si="37"/>
        <v xml:space="preserve"> </v>
      </c>
    </row>
    <row r="1661" spans="5:6" hidden="1" x14ac:dyDescent="0.35">
      <c r="E1661" s="96" t="str">
        <f t="shared" si="37"/>
        <v xml:space="preserve"> </v>
      </c>
      <c r="F1661" s="96" t="str">
        <f t="shared" si="37"/>
        <v xml:space="preserve"> </v>
      </c>
    </row>
    <row r="1662" spans="5:6" hidden="1" x14ac:dyDescent="0.35">
      <c r="E1662" s="96" t="str">
        <f t="shared" si="37"/>
        <v xml:space="preserve"> </v>
      </c>
      <c r="F1662" s="96" t="str">
        <f t="shared" si="37"/>
        <v xml:space="preserve"> </v>
      </c>
    </row>
    <row r="1663" spans="5:6" hidden="1" x14ac:dyDescent="0.35">
      <c r="E1663" s="96" t="str">
        <f t="shared" si="37"/>
        <v xml:space="preserve"> </v>
      </c>
      <c r="F1663" s="96" t="str">
        <f t="shared" si="37"/>
        <v xml:space="preserve"> </v>
      </c>
    </row>
    <row r="1664" spans="5:6" hidden="1" x14ac:dyDescent="0.35">
      <c r="E1664" s="96" t="str">
        <f t="shared" si="37"/>
        <v xml:space="preserve"> </v>
      </c>
      <c r="F1664" s="96" t="str">
        <f t="shared" si="37"/>
        <v xml:space="preserve"> </v>
      </c>
    </row>
    <row r="1665" spans="5:6" hidden="1" x14ac:dyDescent="0.35">
      <c r="E1665" s="96" t="str">
        <f t="shared" si="37"/>
        <v xml:space="preserve"> </v>
      </c>
      <c r="F1665" s="96" t="str">
        <f t="shared" si="37"/>
        <v xml:space="preserve"> </v>
      </c>
    </row>
    <row r="1666" spans="5:6" hidden="1" x14ac:dyDescent="0.35">
      <c r="E1666" s="96" t="str">
        <f t="shared" si="37"/>
        <v xml:space="preserve"> </v>
      </c>
      <c r="F1666" s="96" t="str">
        <f t="shared" si="37"/>
        <v xml:space="preserve"> </v>
      </c>
    </row>
    <row r="1667" spans="5:6" hidden="1" x14ac:dyDescent="0.35">
      <c r="E1667" s="96" t="str">
        <f t="shared" si="37"/>
        <v xml:space="preserve"> </v>
      </c>
      <c r="F1667" s="96" t="str">
        <f t="shared" si="37"/>
        <v xml:space="preserve"> </v>
      </c>
    </row>
    <row r="1668" spans="5:6" hidden="1" x14ac:dyDescent="0.35">
      <c r="E1668" s="96" t="str">
        <f t="shared" si="37"/>
        <v xml:space="preserve"> </v>
      </c>
      <c r="F1668" s="96" t="str">
        <f t="shared" si="37"/>
        <v xml:space="preserve"> </v>
      </c>
    </row>
    <row r="1669" spans="5:6" hidden="1" x14ac:dyDescent="0.35">
      <c r="E1669" s="96" t="str">
        <f t="shared" si="37"/>
        <v xml:space="preserve"> </v>
      </c>
      <c r="F1669" s="96" t="str">
        <f t="shared" si="37"/>
        <v xml:space="preserve"> </v>
      </c>
    </row>
    <row r="1670" spans="5:6" hidden="1" x14ac:dyDescent="0.35">
      <c r="E1670" s="96" t="str">
        <f t="shared" si="37"/>
        <v xml:space="preserve"> </v>
      </c>
      <c r="F1670" s="96" t="str">
        <f t="shared" si="37"/>
        <v xml:space="preserve"> </v>
      </c>
    </row>
    <row r="1671" spans="5:6" hidden="1" x14ac:dyDescent="0.35">
      <c r="E1671" s="96" t="str">
        <f t="shared" si="37"/>
        <v xml:space="preserve"> </v>
      </c>
      <c r="F1671" s="96" t="str">
        <f t="shared" si="37"/>
        <v xml:space="preserve"> </v>
      </c>
    </row>
    <row r="1672" spans="5:6" hidden="1" x14ac:dyDescent="0.35">
      <c r="E1672" s="96" t="str">
        <f t="shared" si="37"/>
        <v xml:space="preserve"> </v>
      </c>
      <c r="F1672" s="96" t="str">
        <f t="shared" si="37"/>
        <v xml:space="preserve"> </v>
      </c>
    </row>
    <row r="1673" spans="5:6" hidden="1" x14ac:dyDescent="0.35">
      <c r="E1673" s="96" t="str">
        <f t="shared" si="37"/>
        <v xml:space="preserve"> </v>
      </c>
      <c r="F1673" s="96" t="str">
        <f t="shared" si="37"/>
        <v xml:space="preserve"> </v>
      </c>
    </row>
    <row r="1674" spans="5:6" hidden="1" x14ac:dyDescent="0.35">
      <c r="E1674" s="96" t="str">
        <f t="shared" si="37"/>
        <v xml:space="preserve"> </v>
      </c>
      <c r="F1674" s="96" t="str">
        <f t="shared" si="37"/>
        <v xml:space="preserve"> </v>
      </c>
    </row>
    <row r="1675" spans="5:6" hidden="1" x14ac:dyDescent="0.35">
      <c r="E1675" s="96" t="str">
        <f t="shared" si="37"/>
        <v xml:space="preserve"> </v>
      </c>
      <c r="F1675" s="96" t="str">
        <f t="shared" si="37"/>
        <v xml:space="preserve"> </v>
      </c>
    </row>
    <row r="1676" spans="5:6" hidden="1" x14ac:dyDescent="0.35">
      <c r="E1676" s="96" t="str">
        <f t="shared" si="37"/>
        <v xml:space="preserve"> </v>
      </c>
      <c r="F1676" s="96" t="str">
        <f t="shared" si="37"/>
        <v xml:space="preserve"> </v>
      </c>
    </row>
    <row r="1677" spans="5:6" hidden="1" x14ac:dyDescent="0.35">
      <c r="E1677" s="96" t="str">
        <f t="shared" si="37"/>
        <v xml:space="preserve"> </v>
      </c>
      <c r="F1677" s="96" t="str">
        <f t="shared" si="37"/>
        <v xml:space="preserve"> </v>
      </c>
    </row>
    <row r="1678" spans="5:6" hidden="1" x14ac:dyDescent="0.35">
      <c r="E1678" s="96" t="str">
        <f t="shared" si="37"/>
        <v xml:space="preserve"> </v>
      </c>
      <c r="F1678" s="96" t="str">
        <f t="shared" si="37"/>
        <v xml:space="preserve"> </v>
      </c>
    </row>
    <row r="1679" spans="5:6" hidden="1" x14ac:dyDescent="0.35">
      <c r="E1679" s="96" t="str">
        <f t="shared" si="37"/>
        <v xml:space="preserve"> </v>
      </c>
      <c r="F1679" s="96" t="str">
        <f t="shared" si="37"/>
        <v xml:space="preserve"> </v>
      </c>
    </row>
    <row r="1680" spans="5:6" hidden="1" x14ac:dyDescent="0.35">
      <c r="E1680" s="96" t="str">
        <f t="shared" si="37"/>
        <v xml:space="preserve"> </v>
      </c>
      <c r="F1680" s="96" t="str">
        <f t="shared" si="37"/>
        <v xml:space="preserve"> </v>
      </c>
    </row>
    <row r="1681" spans="5:6" hidden="1" x14ac:dyDescent="0.35">
      <c r="E1681" s="96" t="str">
        <f t="shared" si="37"/>
        <v xml:space="preserve"> </v>
      </c>
      <c r="F1681" s="96" t="str">
        <f t="shared" si="37"/>
        <v xml:space="preserve"> </v>
      </c>
    </row>
    <row r="1682" spans="5:6" hidden="1" x14ac:dyDescent="0.35">
      <c r="E1682" s="96" t="str">
        <f t="shared" si="37"/>
        <v xml:space="preserve"> </v>
      </c>
      <c r="F1682" s="96" t="str">
        <f t="shared" si="37"/>
        <v xml:space="preserve"> </v>
      </c>
    </row>
    <row r="1683" spans="5:6" hidden="1" x14ac:dyDescent="0.35">
      <c r="E1683" s="96" t="str">
        <f t="shared" si="37"/>
        <v xml:space="preserve"> </v>
      </c>
      <c r="F1683" s="96" t="str">
        <f t="shared" si="37"/>
        <v xml:space="preserve"> </v>
      </c>
    </row>
    <row r="1684" spans="5:6" hidden="1" x14ac:dyDescent="0.35">
      <c r="E1684" s="96" t="str">
        <f t="shared" si="37"/>
        <v xml:space="preserve"> </v>
      </c>
      <c r="F1684" s="96" t="str">
        <f t="shared" si="37"/>
        <v xml:space="preserve"> </v>
      </c>
    </row>
    <row r="1685" spans="5:6" hidden="1" x14ac:dyDescent="0.35">
      <c r="E1685" s="96" t="str">
        <f t="shared" si="37"/>
        <v xml:space="preserve"> </v>
      </c>
      <c r="F1685" s="96" t="str">
        <f t="shared" si="37"/>
        <v xml:space="preserve"> </v>
      </c>
    </row>
    <row r="1686" spans="5:6" hidden="1" x14ac:dyDescent="0.35">
      <c r="E1686" s="96" t="str">
        <f t="shared" si="37"/>
        <v xml:space="preserve"> </v>
      </c>
      <c r="F1686" s="96" t="str">
        <f t="shared" si="37"/>
        <v xml:space="preserve"> </v>
      </c>
    </row>
    <row r="1687" spans="5:6" hidden="1" x14ac:dyDescent="0.35">
      <c r="E1687" s="96" t="str">
        <f t="shared" ref="E1687:F1750" si="38">IF((IFERROR(C1687/C1686-1," "))=-1," ",IFERROR(C1687/C1686-1," "))</f>
        <v xml:space="preserve"> </v>
      </c>
      <c r="F1687" s="96" t="str">
        <f t="shared" si="38"/>
        <v xml:space="preserve"> </v>
      </c>
    </row>
    <row r="1688" spans="5:6" hidden="1" x14ac:dyDescent="0.35">
      <c r="E1688" s="96" t="str">
        <f t="shared" si="38"/>
        <v xml:space="preserve"> </v>
      </c>
      <c r="F1688" s="96" t="str">
        <f t="shared" si="38"/>
        <v xml:space="preserve"> </v>
      </c>
    </row>
    <row r="1689" spans="5:6" hidden="1" x14ac:dyDescent="0.35">
      <c r="E1689" s="96" t="str">
        <f t="shared" si="38"/>
        <v xml:space="preserve"> </v>
      </c>
      <c r="F1689" s="96" t="str">
        <f t="shared" si="38"/>
        <v xml:space="preserve"> </v>
      </c>
    </row>
    <row r="1690" spans="5:6" hidden="1" x14ac:dyDescent="0.35">
      <c r="E1690" s="96" t="str">
        <f t="shared" si="38"/>
        <v xml:space="preserve"> </v>
      </c>
      <c r="F1690" s="96" t="str">
        <f t="shared" si="38"/>
        <v xml:space="preserve"> </v>
      </c>
    </row>
    <row r="1691" spans="5:6" hidden="1" x14ac:dyDescent="0.35">
      <c r="E1691" s="96" t="str">
        <f t="shared" si="38"/>
        <v xml:space="preserve"> </v>
      </c>
      <c r="F1691" s="96" t="str">
        <f t="shared" si="38"/>
        <v xml:space="preserve"> </v>
      </c>
    </row>
    <row r="1692" spans="5:6" hidden="1" x14ac:dyDescent="0.35">
      <c r="E1692" s="96" t="str">
        <f t="shared" si="38"/>
        <v xml:space="preserve"> </v>
      </c>
      <c r="F1692" s="96" t="str">
        <f t="shared" si="38"/>
        <v xml:space="preserve"> </v>
      </c>
    </row>
    <row r="1693" spans="5:6" hidden="1" x14ac:dyDescent="0.35">
      <c r="E1693" s="96" t="str">
        <f t="shared" si="38"/>
        <v xml:space="preserve"> </v>
      </c>
      <c r="F1693" s="96" t="str">
        <f t="shared" si="38"/>
        <v xml:space="preserve"> </v>
      </c>
    </row>
    <row r="1694" spans="5:6" hidden="1" x14ac:dyDescent="0.35">
      <c r="E1694" s="96" t="str">
        <f t="shared" si="38"/>
        <v xml:space="preserve"> </v>
      </c>
      <c r="F1694" s="96" t="str">
        <f t="shared" si="38"/>
        <v xml:space="preserve"> </v>
      </c>
    </row>
    <row r="1695" spans="5:6" hidden="1" x14ac:dyDescent="0.35">
      <c r="E1695" s="96" t="str">
        <f t="shared" si="38"/>
        <v xml:space="preserve"> </v>
      </c>
      <c r="F1695" s="96" t="str">
        <f t="shared" si="38"/>
        <v xml:space="preserve"> </v>
      </c>
    </row>
    <row r="1696" spans="5:6" hidden="1" x14ac:dyDescent="0.35">
      <c r="E1696" s="96" t="str">
        <f t="shared" si="38"/>
        <v xml:space="preserve"> </v>
      </c>
      <c r="F1696" s="96" t="str">
        <f t="shared" si="38"/>
        <v xml:space="preserve"> </v>
      </c>
    </row>
    <row r="1697" spans="5:6" hidden="1" x14ac:dyDescent="0.35">
      <c r="E1697" s="96" t="str">
        <f t="shared" si="38"/>
        <v xml:space="preserve"> </v>
      </c>
      <c r="F1697" s="96" t="str">
        <f t="shared" si="38"/>
        <v xml:space="preserve"> </v>
      </c>
    </row>
    <row r="1698" spans="5:6" hidden="1" x14ac:dyDescent="0.35">
      <c r="E1698" s="96" t="str">
        <f t="shared" si="38"/>
        <v xml:space="preserve"> </v>
      </c>
      <c r="F1698" s="96" t="str">
        <f t="shared" si="38"/>
        <v xml:space="preserve"> </v>
      </c>
    </row>
    <row r="1699" spans="5:6" hidden="1" x14ac:dyDescent="0.35">
      <c r="E1699" s="96" t="str">
        <f t="shared" si="38"/>
        <v xml:space="preserve"> </v>
      </c>
      <c r="F1699" s="96" t="str">
        <f t="shared" si="38"/>
        <v xml:space="preserve"> </v>
      </c>
    </row>
    <row r="1700" spans="5:6" hidden="1" x14ac:dyDescent="0.35">
      <c r="E1700" s="96" t="str">
        <f t="shared" si="38"/>
        <v xml:space="preserve"> </v>
      </c>
      <c r="F1700" s="96" t="str">
        <f t="shared" si="38"/>
        <v xml:space="preserve"> </v>
      </c>
    </row>
    <row r="1701" spans="5:6" hidden="1" x14ac:dyDescent="0.35">
      <c r="E1701" s="96" t="str">
        <f t="shared" si="38"/>
        <v xml:space="preserve"> </v>
      </c>
      <c r="F1701" s="96" t="str">
        <f t="shared" si="38"/>
        <v xml:space="preserve"> </v>
      </c>
    </row>
    <row r="1702" spans="5:6" hidden="1" x14ac:dyDescent="0.35">
      <c r="E1702" s="96" t="str">
        <f t="shared" si="38"/>
        <v xml:space="preserve"> </v>
      </c>
      <c r="F1702" s="96" t="str">
        <f t="shared" si="38"/>
        <v xml:space="preserve"> </v>
      </c>
    </row>
    <row r="1703" spans="5:6" hidden="1" x14ac:dyDescent="0.35">
      <c r="E1703" s="96" t="str">
        <f t="shared" si="38"/>
        <v xml:space="preserve"> </v>
      </c>
      <c r="F1703" s="96" t="str">
        <f t="shared" si="38"/>
        <v xml:space="preserve"> </v>
      </c>
    </row>
    <row r="1704" spans="5:6" hidden="1" x14ac:dyDescent="0.35">
      <c r="E1704" s="96" t="str">
        <f t="shared" si="38"/>
        <v xml:space="preserve"> </v>
      </c>
      <c r="F1704" s="96" t="str">
        <f t="shared" si="38"/>
        <v xml:space="preserve"> </v>
      </c>
    </row>
    <row r="1705" spans="5:6" hidden="1" x14ac:dyDescent="0.35">
      <c r="E1705" s="96" t="str">
        <f t="shared" si="38"/>
        <v xml:space="preserve"> </v>
      </c>
      <c r="F1705" s="96" t="str">
        <f t="shared" si="38"/>
        <v xml:space="preserve"> </v>
      </c>
    </row>
    <row r="1706" spans="5:6" hidden="1" x14ac:dyDescent="0.35">
      <c r="E1706" s="96" t="str">
        <f t="shared" si="38"/>
        <v xml:space="preserve"> </v>
      </c>
      <c r="F1706" s="96" t="str">
        <f t="shared" si="38"/>
        <v xml:space="preserve"> </v>
      </c>
    </row>
    <row r="1707" spans="5:6" hidden="1" x14ac:dyDescent="0.35">
      <c r="E1707" s="96" t="str">
        <f t="shared" si="38"/>
        <v xml:space="preserve"> </v>
      </c>
      <c r="F1707" s="96" t="str">
        <f t="shared" si="38"/>
        <v xml:space="preserve"> </v>
      </c>
    </row>
    <row r="1708" spans="5:6" hidden="1" x14ac:dyDescent="0.35">
      <c r="E1708" s="96" t="str">
        <f t="shared" si="38"/>
        <v xml:space="preserve"> </v>
      </c>
      <c r="F1708" s="96" t="str">
        <f t="shared" si="38"/>
        <v xml:space="preserve"> </v>
      </c>
    </row>
    <row r="1709" spans="5:6" hidden="1" x14ac:dyDescent="0.35">
      <c r="E1709" s="96" t="str">
        <f t="shared" si="38"/>
        <v xml:space="preserve"> </v>
      </c>
      <c r="F1709" s="96" t="str">
        <f t="shared" si="38"/>
        <v xml:space="preserve"> </v>
      </c>
    </row>
    <row r="1710" spans="5:6" hidden="1" x14ac:dyDescent="0.35">
      <c r="E1710" s="96" t="str">
        <f t="shared" si="38"/>
        <v xml:space="preserve"> </v>
      </c>
      <c r="F1710" s="96" t="str">
        <f t="shared" si="38"/>
        <v xml:space="preserve"> </v>
      </c>
    </row>
    <row r="1711" spans="5:6" hidden="1" x14ac:dyDescent="0.35">
      <c r="E1711" s="96" t="str">
        <f t="shared" si="38"/>
        <v xml:space="preserve"> </v>
      </c>
      <c r="F1711" s="96" t="str">
        <f t="shared" si="38"/>
        <v xml:space="preserve"> </v>
      </c>
    </row>
    <row r="1712" spans="5:6" hidden="1" x14ac:dyDescent="0.35">
      <c r="E1712" s="96" t="str">
        <f t="shared" si="38"/>
        <v xml:space="preserve"> </v>
      </c>
      <c r="F1712" s="96" t="str">
        <f t="shared" si="38"/>
        <v xml:space="preserve"> </v>
      </c>
    </row>
    <row r="1713" spans="5:6" hidden="1" x14ac:dyDescent="0.35">
      <c r="E1713" s="96" t="str">
        <f t="shared" si="38"/>
        <v xml:space="preserve"> </v>
      </c>
      <c r="F1713" s="96" t="str">
        <f t="shared" si="38"/>
        <v xml:space="preserve"> </v>
      </c>
    </row>
    <row r="1714" spans="5:6" hidden="1" x14ac:dyDescent="0.35">
      <c r="E1714" s="96" t="str">
        <f t="shared" si="38"/>
        <v xml:space="preserve"> </v>
      </c>
      <c r="F1714" s="96" t="str">
        <f t="shared" si="38"/>
        <v xml:space="preserve"> </v>
      </c>
    </row>
    <row r="1715" spans="5:6" hidden="1" x14ac:dyDescent="0.35">
      <c r="E1715" s="96" t="str">
        <f t="shared" si="38"/>
        <v xml:space="preserve"> </v>
      </c>
      <c r="F1715" s="96" t="str">
        <f t="shared" si="38"/>
        <v xml:space="preserve"> </v>
      </c>
    </row>
    <row r="1716" spans="5:6" hidden="1" x14ac:dyDescent="0.35">
      <c r="E1716" s="96" t="str">
        <f t="shared" si="38"/>
        <v xml:space="preserve"> </v>
      </c>
      <c r="F1716" s="96" t="str">
        <f t="shared" si="38"/>
        <v xml:space="preserve"> </v>
      </c>
    </row>
    <row r="1717" spans="5:6" hidden="1" x14ac:dyDescent="0.35">
      <c r="E1717" s="96" t="str">
        <f t="shared" si="38"/>
        <v xml:space="preserve"> </v>
      </c>
      <c r="F1717" s="96" t="str">
        <f t="shared" si="38"/>
        <v xml:space="preserve"> </v>
      </c>
    </row>
    <row r="1718" spans="5:6" hidden="1" x14ac:dyDescent="0.35">
      <c r="E1718" s="96" t="str">
        <f t="shared" si="38"/>
        <v xml:space="preserve"> </v>
      </c>
      <c r="F1718" s="96" t="str">
        <f t="shared" si="38"/>
        <v xml:space="preserve"> </v>
      </c>
    </row>
    <row r="1719" spans="5:6" hidden="1" x14ac:dyDescent="0.35">
      <c r="E1719" s="96" t="str">
        <f t="shared" si="38"/>
        <v xml:space="preserve"> </v>
      </c>
      <c r="F1719" s="96" t="str">
        <f t="shared" si="38"/>
        <v xml:space="preserve"> </v>
      </c>
    </row>
    <row r="1720" spans="5:6" hidden="1" x14ac:dyDescent="0.35">
      <c r="E1720" s="96" t="str">
        <f t="shared" si="38"/>
        <v xml:space="preserve"> </v>
      </c>
      <c r="F1720" s="96" t="str">
        <f t="shared" si="38"/>
        <v xml:space="preserve"> </v>
      </c>
    </row>
    <row r="1721" spans="5:6" hidden="1" x14ac:dyDescent="0.35">
      <c r="E1721" s="96" t="str">
        <f t="shared" si="38"/>
        <v xml:space="preserve"> </v>
      </c>
      <c r="F1721" s="96" t="str">
        <f t="shared" si="38"/>
        <v xml:space="preserve"> </v>
      </c>
    </row>
    <row r="1722" spans="5:6" hidden="1" x14ac:dyDescent="0.35">
      <c r="E1722" s="96" t="str">
        <f t="shared" si="38"/>
        <v xml:space="preserve"> </v>
      </c>
      <c r="F1722" s="96" t="str">
        <f t="shared" si="38"/>
        <v xml:space="preserve"> </v>
      </c>
    </row>
    <row r="1723" spans="5:6" hidden="1" x14ac:dyDescent="0.35">
      <c r="E1723" s="96" t="str">
        <f t="shared" si="38"/>
        <v xml:space="preserve"> </v>
      </c>
      <c r="F1723" s="96" t="str">
        <f t="shared" si="38"/>
        <v xml:space="preserve"> </v>
      </c>
    </row>
    <row r="1724" spans="5:6" hidden="1" x14ac:dyDescent="0.35">
      <c r="E1724" s="96" t="str">
        <f t="shared" si="38"/>
        <v xml:space="preserve"> </v>
      </c>
      <c r="F1724" s="96" t="str">
        <f t="shared" si="38"/>
        <v xml:space="preserve"> </v>
      </c>
    </row>
    <row r="1725" spans="5:6" hidden="1" x14ac:dyDescent="0.35">
      <c r="E1725" s="96" t="str">
        <f t="shared" si="38"/>
        <v xml:space="preserve"> </v>
      </c>
      <c r="F1725" s="96" t="str">
        <f t="shared" si="38"/>
        <v xml:space="preserve"> </v>
      </c>
    </row>
    <row r="1726" spans="5:6" hidden="1" x14ac:dyDescent="0.35">
      <c r="E1726" s="96" t="str">
        <f t="shared" si="38"/>
        <v xml:space="preserve"> </v>
      </c>
      <c r="F1726" s="96" t="str">
        <f t="shared" si="38"/>
        <v xml:space="preserve"> </v>
      </c>
    </row>
    <row r="1727" spans="5:6" hidden="1" x14ac:dyDescent="0.35">
      <c r="E1727" s="96" t="str">
        <f t="shared" si="38"/>
        <v xml:space="preserve"> </v>
      </c>
      <c r="F1727" s="96" t="str">
        <f t="shared" si="38"/>
        <v xml:space="preserve"> </v>
      </c>
    </row>
    <row r="1728" spans="5:6" hidden="1" x14ac:dyDescent="0.35">
      <c r="E1728" s="96" t="str">
        <f t="shared" si="38"/>
        <v xml:space="preserve"> </v>
      </c>
      <c r="F1728" s="96" t="str">
        <f t="shared" si="38"/>
        <v xml:space="preserve"> </v>
      </c>
    </row>
    <row r="1729" spans="5:6" hidden="1" x14ac:dyDescent="0.35">
      <c r="E1729" s="96" t="str">
        <f t="shared" si="38"/>
        <v xml:space="preserve"> </v>
      </c>
      <c r="F1729" s="96" t="str">
        <f t="shared" si="38"/>
        <v xml:space="preserve"> </v>
      </c>
    </row>
    <row r="1730" spans="5:6" hidden="1" x14ac:dyDescent="0.35">
      <c r="E1730" s="96" t="str">
        <f t="shared" si="38"/>
        <v xml:space="preserve"> </v>
      </c>
      <c r="F1730" s="96" t="str">
        <f t="shared" si="38"/>
        <v xml:space="preserve"> </v>
      </c>
    </row>
    <row r="1731" spans="5:6" hidden="1" x14ac:dyDescent="0.35">
      <c r="E1731" s="96" t="str">
        <f t="shared" si="38"/>
        <v xml:space="preserve"> </v>
      </c>
      <c r="F1731" s="96" t="str">
        <f t="shared" si="38"/>
        <v xml:space="preserve"> </v>
      </c>
    </row>
    <row r="1732" spans="5:6" hidden="1" x14ac:dyDescent="0.35">
      <c r="E1732" s="96" t="str">
        <f t="shared" si="38"/>
        <v xml:space="preserve"> </v>
      </c>
      <c r="F1732" s="96" t="str">
        <f t="shared" si="38"/>
        <v xml:space="preserve"> </v>
      </c>
    </row>
    <row r="1733" spans="5:6" hidden="1" x14ac:dyDescent="0.35">
      <c r="E1733" s="96" t="str">
        <f t="shared" si="38"/>
        <v xml:space="preserve"> </v>
      </c>
      <c r="F1733" s="96" t="str">
        <f t="shared" si="38"/>
        <v xml:space="preserve"> </v>
      </c>
    </row>
    <row r="1734" spans="5:6" hidden="1" x14ac:dyDescent="0.35">
      <c r="E1734" s="96" t="str">
        <f t="shared" si="38"/>
        <v xml:space="preserve"> </v>
      </c>
      <c r="F1734" s="96" t="str">
        <f t="shared" si="38"/>
        <v xml:space="preserve"> </v>
      </c>
    </row>
    <row r="1735" spans="5:6" hidden="1" x14ac:dyDescent="0.35">
      <c r="E1735" s="96" t="str">
        <f t="shared" si="38"/>
        <v xml:space="preserve"> </v>
      </c>
      <c r="F1735" s="96" t="str">
        <f t="shared" si="38"/>
        <v xml:space="preserve"> </v>
      </c>
    </row>
    <row r="1736" spans="5:6" hidden="1" x14ac:dyDescent="0.35">
      <c r="E1736" s="96" t="str">
        <f t="shared" si="38"/>
        <v xml:space="preserve"> </v>
      </c>
      <c r="F1736" s="96" t="str">
        <f t="shared" si="38"/>
        <v xml:space="preserve"> </v>
      </c>
    </row>
    <row r="1737" spans="5:6" hidden="1" x14ac:dyDescent="0.35">
      <c r="E1737" s="96" t="str">
        <f t="shared" si="38"/>
        <v xml:space="preserve"> </v>
      </c>
      <c r="F1737" s="96" t="str">
        <f t="shared" si="38"/>
        <v xml:space="preserve"> </v>
      </c>
    </row>
    <row r="1738" spans="5:6" hidden="1" x14ac:dyDescent="0.35">
      <c r="E1738" s="96" t="str">
        <f t="shared" si="38"/>
        <v xml:space="preserve"> </v>
      </c>
      <c r="F1738" s="96" t="str">
        <f t="shared" si="38"/>
        <v xml:space="preserve"> </v>
      </c>
    </row>
    <row r="1739" spans="5:6" hidden="1" x14ac:dyDescent="0.35">
      <c r="E1739" s="96" t="str">
        <f t="shared" si="38"/>
        <v xml:space="preserve"> </v>
      </c>
      <c r="F1739" s="96" t="str">
        <f t="shared" si="38"/>
        <v xml:space="preserve"> </v>
      </c>
    </row>
    <row r="1740" spans="5:6" hidden="1" x14ac:dyDescent="0.35">
      <c r="E1740" s="96" t="str">
        <f t="shared" si="38"/>
        <v xml:space="preserve"> </v>
      </c>
      <c r="F1740" s="96" t="str">
        <f t="shared" si="38"/>
        <v xml:space="preserve"> </v>
      </c>
    </row>
    <row r="1741" spans="5:6" hidden="1" x14ac:dyDescent="0.35">
      <c r="E1741" s="96" t="str">
        <f t="shared" si="38"/>
        <v xml:space="preserve"> </v>
      </c>
      <c r="F1741" s="96" t="str">
        <f t="shared" si="38"/>
        <v xml:space="preserve"> </v>
      </c>
    </row>
    <row r="1742" spans="5:6" hidden="1" x14ac:dyDescent="0.35">
      <c r="E1742" s="96" t="str">
        <f t="shared" si="38"/>
        <v xml:space="preserve"> </v>
      </c>
      <c r="F1742" s="96" t="str">
        <f t="shared" si="38"/>
        <v xml:space="preserve"> </v>
      </c>
    </row>
    <row r="1743" spans="5:6" hidden="1" x14ac:dyDescent="0.35">
      <c r="E1743" s="96" t="str">
        <f t="shared" si="38"/>
        <v xml:space="preserve"> </v>
      </c>
      <c r="F1743" s="96" t="str">
        <f t="shared" si="38"/>
        <v xml:space="preserve"> </v>
      </c>
    </row>
    <row r="1744" spans="5:6" hidden="1" x14ac:dyDescent="0.35">
      <c r="E1744" s="96" t="str">
        <f t="shared" si="38"/>
        <v xml:space="preserve"> </v>
      </c>
      <c r="F1744" s="96" t="str">
        <f t="shared" si="38"/>
        <v xml:space="preserve"> </v>
      </c>
    </row>
    <row r="1745" spans="5:6" hidden="1" x14ac:dyDescent="0.35">
      <c r="E1745" s="96" t="str">
        <f t="shared" si="38"/>
        <v xml:space="preserve"> </v>
      </c>
      <c r="F1745" s="96" t="str">
        <f t="shared" si="38"/>
        <v xml:space="preserve"> </v>
      </c>
    </row>
    <row r="1746" spans="5:6" hidden="1" x14ac:dyDescent="0.35">
      <c r="E1746" s="96" t="str">
        <f t="shared" si="38"/>
        <v xml:space="preserve"> </v>
      </c>
      <c r="F1746" s="96" t="str">
        <f t="shared" si="38"/>
        <v xml:space="preserve"> </v>
      </c>
    </row>
    <row r="1747" spans="5:6" hidden="1" x14ac:dyDescent="0.35">
      <c r="E1747" s="96" t="str">
        <f t="shared" si="38"/>
        <v xml:space="preserve"> </v>
      </c>
      <c r="F1747" s="96" t="str">
        <f t="shared" si="38"/>
        <v xml:space="preserve"> </v>
      </c>
    </row>
    <row r="1748" spans="5:6" hidden="1" x14ac:dyDescent="0.35">
      <c r="E1748" s="96" t="str">
        <f t="shared" si="38"/>
        <v xml:space="preserve"> </v>
      </c>
      <c r="F1748" s="96" t="str">
        <f t="shared" si="38"/>
        <v xml:space="preserve"> </v>
      </c>
    </row>
    <row r="1749" spans="5:6" hidden="1" x14ac:dyDescent="0.35">
      <c r="E1749" s="96" t="str">
        <f t="shared" si="38"/>
        <v xml:space="preserve"> </v>
      </c>
      <c r="F1749" s="96" t="str">
        <f t="shared" si="38"/>
        <v xml:space="preserve"> </v>
      </c>
    </row>
    <row r="1750" spans="5:6" hidden="1" x14ac:dyDescent="0.35">
      <c r="E1750" s="96" t="str">
        <f t="shared" si="38"/>
        <v xml:space="preserve"> </v>
      </c>
      <c r="F1750" s="96" t="str">
        <f t="shared" si="38"/>
        <v xml:space="preserve"> </v>
      </c>
    </row>
    <row r="1751" spans="5:6" hidden="1" x14ac:dyDescent="0.35">
      <c r="E1751" s="96" t="str">
        <f t="shared" ref="E1751:F1814" si="39">IF((IFERROR(C1751/C1750-1," "))=-1," ",IFERROR(C1751/C1750-1," "))</f>
        <v xml:space="preserve"> </v>
      </c>
      <c r="F1751" s="96" t="str">
        <f t="shared" si="39"/>
        <v xml:space="preserve"> </v>
      </c>
    </row>
    <row r="1752" spans="5:6" hidden="1" x14ac:dyDescent="0.35">
      <c r="E1752" s="96" t="str">
        <f t="shared" si="39"/>
        <v xml:space="preserve"> </v>
      </c>
      <c r="F1752" s="96" t="str">
        <f t="shared" si="39"/>
        <v xml:space="preserve"> </v>
      </c>
    </row>
    <row r="1753" spans="5:6" hidden="1" x14ac:dyDescent="0.35">
      <c r="E1753" s="96" t="str">
        <f t="shared" si="39"/>
        <v xml:space="preserve"> </v>
      </c>
      <c r="F1753" s="96" t="str">
        <f t="shared" si="39"/>
        <v xml:space="preserve"> </v>
      </c>
    </row>
    <row r="1754" spans="5:6" hidden="1" x14ac:dyDescent="0.35">
      <c r="E1754" s="96" t="str">
        <f t="shared" si="39"/>
        <v xml:space="preserve"> </v>
      </c>
      <c r="F1754" s="96" t="str">
        <f t="shared" si="39"/>
        <v xml:space="preserve"> </v>
      </c>
    </row>
    <row r="1755" spans="5:6" hidden="1" x14ac:dyDescent="0.35">
      <c r="E1755" s="96" t="str">
        <f t="shared" si="39"/>
        <v xml:space="preserve"> </v>
      </c>
      <c r="F1755" s="96" t="str">
        <f t="shared" si="39"/>
        <v xml:space="preserve"> </v>
      </c>
    </row>
    <row r="1756" spans="5:6" hidden="1" x14ac:dyDescent="0.35">
      <c r="E1756" s="96" t="str">
        <f t="shared" si="39"/>
        <v xml:space="preserve"> </v>
      </c>
      <c r="F1756" s="96" t="str">
        <f t="shared" si="39"/>
        <v xml:space="preserve"> </v>
      </c>
    </row>
    <row r="1757" spans="5:6" hidden="1" x14ac:dyDescent="0.35">
      <c r="E1757" s="96" t="str">
        <f t="shared" si="39"/>
        <v xml:space="preserve"> </v>
      </c>
      <c r="F1757" s="96" t="str">
        <f t="shared" si="39"/>
        <v xml:space="preserve"> </v>
      </c>
    </row>
    <row r="1758" spans="5:6" hidden="1" x14ac:dyDescent="0.35">
      <c r="E1758" s="96" t="str">
        <f t="shared" si="39"/>
        <v xml:space="preserve"> </v>
      </c>
      <c r="F1758" s="96" t="str">
        <f t="shared" si="39"/>
        <v xml:space="preserve"> </v>
      </c>
    </row>
    <row r="1759" spans="5:6" hidden="1" x14ac:dyDescent="0.35">
      <c r="E1759" s="96" t="str">
        <f t="shared" si="39"/>
        <v xml:space="preserve"> </v>
      </c>
      <c r="F1759" s="96" t="str">
        <f t="shared" si="39"/>
        <v xml:space="preserve"> </v>
      </c>
    </row>
    <row r="1760" spans="5:6" hidden="1" x14ac:dyDescent="0.35">
      <c r="E1760" s="96" t="str">
        <f t="shared" si="39"/>
        <v xml:space="preserve"> </v>
      </c>
      <c r="F1760" s="96" t="str">
        <f t="shared" si="39"/>
        <v xml:space="preserve"> </v>
      </c>
    </row>
    <row r="1761" spans="5:6" hidden="1" x14ac:dyDescent="0.35">
      <c r="E1761" s="96" t="str">
        <f t="shared" si="39"/>
        <v xml:space="preserve"> </v>
      </c>
      <c r="F1761" s="96" t="str">
        <f t="shared" si="39"/>
        <v xml:space="preserve"> </v>
      </c>
    </row>
    <row r="1762" spans="5:6" hidden="1" x14ac:dyDescent="0.35">
      <c r="E1762" s="96" t="str">
        <f t="shared" si="39"/>
        <v xml:space="preserve"> </v>
      </c>
      <c r="F1762" s="96" t="str">
        <f t="shared" si="39"/>
        <v xml:space="preserve"> </v>
      </c>
    </row>
    <row r="1763" spans="5:6" hidden="1" x14ac:dyDescent="0.35">
      <c r="E1763" s="96" t="str">
        <f t="shared" si="39"/>
        <v xml:space="preserve"> </v>
      </c>
      <c r="F1763" s="96" t="str">
        <f t="shared" si="39"/>
        <v xml:space="preserve"> </v>
      </c>
    </row>
    <row r="1764" spans="5:6" hidden="1" x14ac:dyDescent="0.35">
      <c r="E1764" s="96" t="str">
        <f t="shared" si="39"/>
        <v xml:space="preserve"> </v>
      </c>
      <c r="F1764" s="96" t="str">
        <f t="shared" si="39"/>
        <v xml:space="preserve"> </v>
      </c>
    </row>
    <row r="1765" spans="5:6" hidden="1" x14ac:dyDescent="0.35">
      <c r="E1765" s="96" t="str">
        <f t="shared" si="39"/>
        <v xml:space="preserve"> </v>
      </c>
      <c r="F1765" s="96" t="str">
        <f t="shared" si="39"/>
        <v xml:space="preserve"> </v>
      </c>
    </row>
    <row r="1766" spans="5:6" hidden="1" x14ac:dyDescent="0.35">
      <c r="E1766" s="96" t="str">
        <f t="shared" si="39"/>
        <v xml:space="preserve"> </v>
      </c>
      <c r="F1766" s="96" t="str">
        <f t="shared" si="39"/>
        <v xml:space="preserve"> </v>
      </c>
    </row>
    <row r="1767" spans="5:6" hidden="1" x14ac:dyDescent="0.35">
      <c r="E1767" s="96" t="str">
        <f t="shared" si="39"/>
        <v xml:space="preserve"> </v>
      </c>
      <c r="F1767" s="96" t="str">
        <f t="shared" si="39"/>
        <v xml:space="preserve"> </v>
      </c>
    </row>
    <row r="1768" spans="5:6" hidden="1" x14ac:dyDescent="0.35">
      <c r="E1768" s="96" t="str">
        <f t="shared" si="39"/>
        <v xml:space="preserve"> </v>
      </c>
      <c r="F1768" s="96" t="str">
        <f t="shared" si="39"/>
        <v xml:space="preserve"> </v>
      </c>
    </row>
    <row r="1769" spans="5:6" hidden="1" x14ac:dyDescent="0.35">
      <c r="E1769" s="96" t="str">
        <f t="shared" si="39"/>
        <v xml:space="preserve"> </v>
      </c>
      <c r="F1769" s="96" t="str">
        <f t="shared" si="39"/>
        <v xml:space="preserve"> </v>
      </c>
    </row>
    <row r="1770" spans="5:6" hidden="1" x14ac:dyDescent="0.35">
      <c r="E1770" s="96" t="str">
        <f t="shared" si="39"/>
        <v xml:space="preserve"> </v>
      </c>
      <c r="F1770" s="96" t="str">
        <f t="shared" si="39"/>
        <v xml:space="preserve"> </v>
      </c>
    </row>
    <row r="1771" spans="5:6" hidden="1" x14ac:dyDescent="0.35">
      <c r="E1771" s="96" t="str">
        <f t="shared" si="39"/>
        <v xml:space="preserve"> </v>
      </c>
      <c r="F1771" s="96" t="str">
        <f t="shared" si="39"/>
        <v xml:space="preserve"> </v>
      </c>
    </row>
    <row r="1772" spans="5:6" hidden="1" x14ac:dyDescent="0.35">
      <c r="E1772" s="96" t="str">
        <f t="shared" si="39"/>
        <v xml:space="preserve"> </v>
      </c>
      <c r="F1772" s="96" t="str">
        <f t="shared" si="39"/>
        <v xml:space="preserve"> </v>
      </c>
    </row>
    <row r="1773" spans="5:6" hidden="1" x14ac:dyDescent="0.35">
      <c r="E1773" s="96" t="str">
        <f t="shared" si="39"/>
        <v xml:space="preserve"> </v>
      </c>
      <c r="F1773" s="96" t="str">
        <f t="shared" si="39"/>
        <v xml:space="preserve"> </v>
      </c>
    </row>
    <row r="1774" spans="5:6" hidden="1" x14ac:dyDescent="0.35">
      <c r="E1774" s="96" t="str">
        <f t="shared" si="39"/>
        <v xml:space="preserve"> </v>
      </c>
      <c r="F1774" s="96" t="str">
        <f t="shared" si="39"/>
        <v xml:space="preserve"> </v>
      </c>
    </row>
    <row r="1775" spans="5:6" hidden="1" x14ac:dyDescent="0.35">
      <c r="E1775" s="96" t="str">
        <f t="shared" si="39"/>
        <v xml:space="preserve"> </v>
      </c>
      <c r="F1775" s="96" t="str">
        <f t="shared" si="39"/>
        <v xml:space="preserve"> </v>
      </c>
    </row>
    <row r="1776" spans="5:6" hidden="1" x14ac:dyDescent="0.35">
      <c r="E1776" s="96" t="str">
        <f t="shared" si="39"/>
        <v xml:space="preserve"> </v>
      </c>
      <c r="F1776" s="96" t="str">
        <f t="shared" si="39"/>
        <v xml:space="preserve"> </v>
      </c>
    </row>
    <row r="1777" spans="5:6" hidden="1" x14ac:dyDescent="0.35">
      <c r="E1777" s="96" t="str">
        <f t="shared" si="39"/>
        <v xml:space="preserve"> </v>
      </c>
      <c r="F1777" s="96" t="str">
        <f t="shared" si="39"/>
        <v xml:space="preserve"> </v>
      </c>
    </row>
    <row r="1778" spans="5:6" hidden="1" x14ac:dyDescent="0.35">
      <c r="E1778" s="96" t="str">
        <f t="shared" si="39"/>
        <v xml:space="preserve"> </v>
      </c>
      <c r="F1778" s="96" t="str">
        <f t="shared" si="39"/>
        <v xml:space="preserve"> </v>
      </c>
    </row>
    <row r="1779" spans="5:6" hidden="1" x14ac:dyDescent="0.35">
      <c r="E1779" s="96" t="str">
        <f t="shared" si="39"/>
        <v xml:space="preserve"> </v>
      </c>
      <c r="F1779" s="96" t="str">
        <f t="shared" si="39"/>
        <v xml:space="preserve"> </v>
      </c>
    </row>
    <row r="1780" spans="5:6" hidden="1" x14ac:dyDescent="0.35">
      <c r="E1780" s="96" t="str">
        <f t="shared" si="39"/>
        <v xml:space="preserve"> </v>
      </c>
      <c r="F1780" s="96" t="str">
        <f t="shared" si="39"/>
        <v xml:space="preserve"> </v>
      </c>
    </row>
    <row r="1781" spans="5:6" hidden="1" x14ac:dyDescent="0.35">
      <c r="E1781" s="96" t="str">
        <f t="shared" si="39"/>
        <v xml:space="preserve"> </v>
      </c>
      <c r="F1781" s="96" t="str">
        <f t="shared" si="39"/>
        <v xml:space="preserve"> </v>
      </c>
    </row>
    <row r="1782" spans="5:6" hidden="1" x14ac:dyDescent="0.35">
      <c r="E1782" s="96" t="str">
        <f t="shared" si="39"/>
        <v xml:space="preserve"> </v>
      </c>
      <c r="F1782" s="96" t="str">
        <f t="shared" si="39"/>
        <v xml:space="preserve"> </v>
      </c>
    </row>
    <row r="1783" spans="5:6" hidden="1" x14ac:dyDescent="0.35">
      <c r="E1783" s="96" t="str">
        <f t="shared" si="39"/>
        <v xml:space="preserve"> </v>
      </c>
      <c r="F1783" s="96" t="str">
        <f t="shared" si="39"/>
        <v xml:space="preserve"> </v>
      </c>
    </row>
    <row r="1784" spans="5:6" hidden="1" x14ac:dyDescent="0.35">
      <c r="E1784" s="96" t="str">
        <f t="shared" si="39"/>
        <v xml:space="preserve"> </v>
      </c>
      <c r="F1784" s="96" t="str">
        <f t="shared" si="39"/>
        <v xml:space="preserve"> </v>
      </c>
    </row>
    <row r="1785" spans="5:6" hidden="1" x14ac:dyDescent="0.35">
      <c r="E1785" s="96" t="str">
        <f t="shared" si="39"/>
        <v xml:space="preserve"> </v>
      </c>
      <c r="F1785" s="96" t="str">
        <f t="shared" si="39"/>
        <v xml:space="preserve"> </v>
      </c>
    </row>
    <row r="1786" spans="5:6" hidden="1" x14ac:dyDescent="0.35">
      <c r="E1786" s="96" t="str">
        <f t="shared" si="39"/>
        <v xml:space="preserve"> </v>
      </c>
      <c r="F1786" s="96" t="str">
        <f t="shared" si="39"/>
        <v xml:space="preserve"> </v>
      </c>
    </row>
    <row r="1787" spans="5:6" hidden="1" x14ac:dyDescent="0.35">
      <c r="E1787" s="96" t="str">
        <f t="shared" si="39"/>
        <v xml:space="preserve"> </v>
      </c>
      <c r="F1787" s="96" t="str">
        <f t="shared" si="39"/>
        <v xml:space="preserve"> </v>
      </c>
    </row>
    <row r="1788" spans="5:6" hidden="1" x14ac:dyDescent="0.35">
      <c r="E1788" s="96" t="str">
        <f t="shared" si="39"/>
        <v xml:space="preserve"> </v>
      </c>
      <c r="F1788" s="96" t="str">
        <f t="shared" si="39"/>
        <v xml:space="preserve"> </v>
      </c>
    </row>
    <row r="1789" spans="5:6" hidden="1" x14ac:dyDescent="0.35">
      <c r="E1789" s="96" t="str">
        <f t="shared" si="39"/>
        <v xml:space="preserve"> </v>
      </c>
      <c r="F1789" s="96" t="str">
        <f t="shared" si="39"/>
        <v xml:space="preserve"> </v>
      </c>
    </row>
    <row r="1790" spans="5:6" hidden="1" x14ac:dyDescent="0.35">
      <c r="E1790" s="96" t="str">
        <f t="shared" si="39"/>
        <v xml:space="preserve"> </v>
      </c>
      <c r="F1790" s="96" t="str">
        <f t="shared" si="39"/>
        <v xml:space="preserve"> </v>
      </c>
    </row>
    <row r="1791" spans="5:6" hidden="1" x14ac:dyDescent="0.35">
      <c r="E1791" s="96" t="str">
        <f t="shared" si="39"/>
        <v xml:space="preserve"> </v>
      </c>
      <c r="F1791" s="96" t="str">
        <f t="shared" si="39"/>
        <v xml:space="preserve"> </v>
      </c>
    </row>
    <row r="1792" spans="5:6" hidden="1" x14ac:dyDescent="0.35">
      <c r="E1792" s="96" t="str">
        <f t="shared" si="39"/>
        <v xml:space="preserve"> </v>
      </c>
      <c r="F1792" s="96" t="str">
        <f t="shared" si="39"/>
        <v xml:space="preserve"> </v>
      </c>
    </row>
    <row r="1793" spans="5:6" hidden="1" x14ac:dyDescent="0.35">
      <c r="E1793" s="96" t="str">
        <f t="shared" si="39"/>
        <v xml:space="preserve"> </v>
      </c>
      <c r="F1793" s="96" t="str">
        <f t="shared" si="39"/>
        <v xml:space="preserve"> </v>
      </c>
    </row>
    <row r="1794" spans="5:6" hidden="1" x14ac:dyDescent="0.35">
      <c r="E1794" s="96" t="str">
        <f t="shared" si="39"/>
        <v xml:space="preserve"> </v>
      </c>
      <c r="F1794" s="96" t="str">
        <f t="shared" si="39"/>
        <v xml:space="preserve"> </v>
      </c>
    </row>
    <row r="1795" spans="5:6" hidden="1" x14ac:dyDescent="0.35">
      <c r="E1795" s="96" t="str">
        <f t="shared" si="39"/>
        <v xml:space="preserve"> </v>
      </c>
      <c r="F1795" s="96" t="str">
        <f t="shared" si="39"/>
        <v xml:space="preserve"> </v>
      </c>
    </row>
    <row r="1796" spans="5:6" hidden="1" x14ac:dyDescent="0.35">
      <c r="E1796" s="96" t="str">
        <f t="shared" si="39"/>
        <v xml:space="preserve"> </v>
      </c>
      <c r="F1796" s="96" t="str">
        <f t="shared" si="39"/>
        <v xml:space="preserve"> </v>
      </c>
    </row>
    <row r="1797" spans="5:6" hidden="1" x14ac:dyDescent="0.35">
      <c r="E1797" s="96" t="str">
        <f t="shared" si="39"/>
        <v xml:space="preserve"> </v>
      </c>
      <c r="F1797" s="96" t="str">
        <f t="shared" si="39"/>
        <v xml:space="preserve"> </v>
      </c>
    </row>
    <row r="1798" spans="5:6" hidden="1" x14ac:dyDescent="0.35">
      <c r="E1798" s="96" t="str">
        <f t="shared" si="39"/>
        <v xml:space="preserve"> </v>
      </c>
      <c r="F1798" s="96" t="str">
        <f t="shared" si="39"/>
        <v xml:space="preserve"> </v>
      </c>
    </row>
    <row r="1799" spans="5:6" hidden="1" x14ac:dyDescent="0.35">
      <c r="E1799" s="96" t="str">
        <f t="shared" si="39"/>
        <v xml:space="preserve"> </v>
      </c>
      <c r="F1799" s="96" t="str">
        <f t="shared" si="39"/>
        <v xml:space="preserve"> </v>
      </c>
    </row>
    <row r="1800" spans="5:6" hidden="1" x14ac:dyDescent="0.35">
      <c r="E1800" s="96" t="str">
        <f t="shared" si="39"/>
        <v xml:space="preserve"> </v>
      </c>
      <c r="F1800" s="96" t="str">
        <f t="shared" si="39"/>
        <v xml:space="preserve"> </v>
      </c>
    </row>
    <row r="1801" spans="5:6" hidden="1" x14ac:dyDescent="0.35">
      <c r="E1801" s="96" t="str">
        <f t="shared" si="39"/>
        <v xml:space="preserve"> </v>
      </c>
      <c r="F1801" s="96" t="str">
        <f t="shared" si="39"/>
        <v xml:space="preserve"> </v>
      </c>
    </row>
    <row r="1802" spans="5:6" hidden="1" x14ac:dyDescent="0.35">
      <c r="E1802" s="96" t="str">
        <f t="shared" si="39"/>
        <v xml:space="preserve"> </v>
      </c>
      <c r="F1802" s="96" t="str">
        <f t="shared" si="39"/>
        <v xml:space="preserve"> </v>
      </c>
    </row>
    <row r="1803" spans="5:6" hidden="1" x14ac:dyDescent="0.35">
      <c r="E1803" s="96" t="str">
        <f t="shared" si="39"/>
        <v xml:space="preserve"> </v>
      </c>
      <c r="F1803" s="96" t="str">
        <f t="shared" si="39"/>
        <v xml:space="preserve"> </v>
      </c>
    </row>
    <row r="1804" spans="5:6" hidden="1" x14ac:dyDescent="0.35">
      <c r="E1804" s="96" t="str">
        <f t="shared" si="39"/>
        <v xml:space="preserve"> </v>
      </c>
      <c r="F1804" s="96" t="str">
        <f t="shared" si="39"/>
        <v xml:space="preserve"> </v>
      </c>
    </row>
    <row r="1805" spans="5:6" hidden="1" x14ac:dyDescent="0.35">
      <c r="E1805" s="96" t="str">
        <f t="shared" si="39"/>
        <v xml:space="preserve"> </v>
      </c>
      <c r="F1805" s="96" t="str">
        <f t="shared" si="39"/>
        <v xml:space="preserve"> </v>
      </c>
    </row>
    <row r="1806" spans="5:6" hidden="1" x14ac:dyDescent="0.35">
      <c r="E1806" s="96" t="str">
        <f t="shared" si="39"/>
        <v xml:space="preserve"> </v>
      </c>
      <c r="F1806" s="96" t="str">
        <f t="shared" si="39"/>
        <v xml:space="preserve"> </v>
      </c>
    </row>
    <row r="1807" spans="5:6" hidden="1" x14ac:dyDescent="0.35">
      <c r="E1807" s="96" t="str">
        <f t="shared" si="39"/>
        <v xml:space="preserve"> </v>
      </c>
      <c r="F1807" s="96" t="str">
        <f t="shared" si="39"/>
        <v xml:space="preserve"> </v>
      </c>
    </row>
    <row r="1808" spans="5:6" hidden="1" x14ac:dyDescent="0.35">
      <c r="E1808" s="96" t="str">
        <f t="shared" si="39"/>
        <v xml:space="preserve"> </v>
      </c>
      <c r="F1808" s="96" t="str">
        <f t="shared" si="39"/>
        <v xml:space="preserve"> </v>
      </c>
    </row>
    <row r="1809" spans="5:6" hidden="1" x14ac:dyDescent="0.35">
      <c r="E1809" s="96" t="str">
        <f t="shared" si="39"/>
        <v xml:space="preserve"> </v>
      </c>
      <c r="F1809" s="96" t="str">
        <f t="shared" si="39"/>
        <v xml:space="preserve"> </v>
      </c>
    </row>
    <row r="1810" spans="5:6" hidden="1" x14ac:dyDescent="0.35">
      <c r="E1810" s="96" t="str">
        <f t="shared" si="39"/>
        <v xml:space="preserve"> </v>
      </c>
      <c r="F1810" s="96" t="str">
        <f t="shared" si="39"/>
        <v xml:space="preserve"> </v>
      </c>
    </row>
    <row r="1811" spans="5:6" hidden="1" x14ac:dyDescent="0.35">
      <c r="E1811" s="96" t="str">
        <f t="shared" si="39"/>
        <v xml:space="preserve"> </v>
      </c>
      <c r="F1811" s="96" t="str">
        <f t="shared" si="39"/>
        <v xml:space="preserve"> </v>
      </c>
    </row>
    <row r="1812" spans="5:6" hidden="1" x14ac:dyDescent="0.35">
      <c r="E1812" s="96" t="str">
        <f t="shared" si="39"/>
        <v xml:space="preserve"> </v>
      </c>
      <c r="F1812" s="96" t="str">
        <f t="shared" si="39"/>
        <v xml:space="preserve"> </v>
      </c>
    </row>
    <row r="1813" spans="5:6" hidden="1" x14ac:dyDescent="0.35">
      <c r="E1813" s="96" t="str">
        <f t="shared" si="39"/>
        <v xml:space="preserve"> </v>
      </c>
      <c r="F1813" s="96" t="str">
        <f t="shared" si="39"/>
        <v xml:space="preserve"> </v>
      </c>
    </row>
    <row r="1814" spans="5:6" hidden="1" x14ac:dyDescent="0.35">
      <c r="E1814" s="96" t="str">
        <f t="shared" si="39"/>
        <v xml:space="preserve"> </v>
      </c>
      <c r="F1814" s="96" t="str">
        <f t="shared" si="39"/>
        <v xml:space="preserve"> </v>
      </c>
    </row>
    <row r="1815" spans="5:6" hidden="1" x14ac:dyDescent="0.35">
      <c r="E1815" s="96" t="str">
        <f t="shared" ref="E1815:F1878" si="40">IF((IFERROR(C1815/C1814-1," "))=-1," ",IFERROR(C1815/C1814-1," "))</f>
        <v xml:space="preserve"> </v>
      </c>
      <c r="F1815" s="96" t="str">
        <f t="shared" si="40"/>
        <v xml:space="preserve"> </v>
      </c>
    </row>
    <row r="1816" spans="5:6" hidden="1" x14ac:dyDescent="0.35">
      <c r="E1816" s="96" t="str">
        <f t="shared" si="40"/>
        <v xml:space="preserve"> </v>
      </c>
      <c r="F1816" s="96" t="str">
        <f t="shared" si="40"/>
        <v xml:space="preserve"> </v>
      </c>
    </row>
    <row r="1817" spans="5:6" hidden="1" x14ac:dyDescent="0.35">
      <c r="E1817" s="96" t="str">
        <f t="shared" si="40"/>
        <v xml:space="preserve"> </v>
      </c>
      <c r="F1817" s="96" t="str">
        <f t="shared" si="40"/>
        <v xml:space="preserve"> </v>
      </c>
    </row>
    <row r="1818" spans="5:6" hidden="1" x14ac:dyDescent="0.35">
      <c r="E1818" s="96" t="str">
        <f t="shared" si="40"/>
        <v xml:space="preserve"> </v>
      </c>
      <c r="F1818" s="96" t="str">
        <f t="shared" si="40"/>
        <v xml:space="preserve"> </v>
      </c>
    </row>
    <row r="1819" spans="5:6" hidden="1" x14ac:dyDescent="0.35">
      <c r="E1819" s="96" t="str">
        <f t="shared" si="40"/>
        <v xml:space="preserve"> </v>
      </c>
      <c r="F1819" s="96" t="str">
        <f t="shared" si="40"/>
        <v xml:space="preserve"> </v>
      </c>
    </row>
    <row r="1820" spans="5:6" hidden="1" x14ac:dyDescent="0.35">
      <c r="E1820" s="96" t="str">
        <f t="shared" si="40"/>
        <v xml:space="preserve"> </v>
      </c>
      <c r="F1820" s="96" t="str">
        <f t="shared" si="40"/>
        <v xml:space="preserve"> </v>
      </c>
    </row>
    <row r="1821" spans="5:6" hidden="1" x14ac:dyDescent="0.35">
      <c r="E1821" s="96" t="str">
        <f t="shared" si="40"/>
        <v xml:space="preserve"> </v>
      </c>
      <c r="F1821" s="96" t="str">
        <f t="shared" si="40"/>
        <v xml:space="preserve"> </v>
      </c>
    </row>
    <row r="1822" spans="5:6" hidden="1" x14ac:dyDescent="0.35">
      <c r="E1822" s="96" t="str">
        <f t="shared" si="40"/>
        <v xml:space="preserve"> </v>
      </c>
      <c r="F1822" s="96" t="str">
        <f t="shared" si="40"/>
        <v xml:space="preserve"> </v>
      </c>
    </row>
    <row r="1823" spans="5:6" hidden="1" x14ac:dyDescent="0.35">
      <c r="E1823" s="96" t="str">
        <f t="shared" si="40"/>
        <v xml:space="preserve"> </v>
      </c>
      <c r="F1823" s="96" t="str">
        <f t="shared" si="40"/>
        <v xml:space="preserve"> </v>
      </c>
    </row>
    <row r="1824" spans="5:6" hidden="1" x14ac:dyDescent="0.35">
      <c r="E1824" s="96" t="str">
        <f t="shared" si="40"/>
        <v xml:space="preserve"> </v>
      </c>
      <c r="F1824" s="96" t="str">
        <f t="shared" si="40"/>
        <v xml:space="preserve"> </v>
      </c>
    </row>
    <row r="1825" spans="5:6" hidden="1" x14ac:dyDescent="0.35">
      <c r="E1825" s="96" t="str">
        <f t="shared" si="40"/>
        <v xml:space="preserve"> </v>
      </c>
      <c r="F1825" s="96" t="str">
        <f t="shared" si="40"/>
        <v xml:space="preserve"> </v>
      </c>
    </row>
    <row r="1826" spans="5:6" hidden="1" x14ac:dyDescent="0.35">
      <c r="E1826" s="96" t="str">
        <f t="shared" si="40"/>
        <v xml:space="preserve"> </v>
      </c>
      <c r="F1826" s="96" t="str">
        <f t="shared" si="40"/>
        <v xml:space="preserve"> </v>
      </c>
    </row>
    <row r="1827" spans="5:6" hidden="1" x14ac:dyDescent="0.35">
      <c r="E1827" s="96" t="str">
        <f t="shared" si="40"/>
        <v xml:space="preserve"> </v>
      </c>
      <c r="F1827" s="96" t="str">
        <f t="shared" si="40"/>
        <v xml:space="preserve"> </v>
      </c>
    </row>
    <row r="1828" spans="5:6" hidden="1" x14ac:dyDescent="0.35">
      <c r="E1828" s="96" t="str">
        <f t="shared" si="40"/>
        <v xml:space="preserve"> </v>
      </c>
      <c r="F1828" s="96" t="str">
        <f t="shared" si="40"/>
        <v xml:space="preserve"> </v>
      </c>
    </row>
    <row r="1829" spans="5:6" hidden="1" x14ac:dyDescent="0.35">
      <c r="E1829" s="96" t="str">
        <f t="shared" si="40"/>
        <v xml:space="preserve"> </v>
      </c>
      <c r="F1829" s="96" t="str">
        <f t="shared" si="40"/>
        <v xml:space="preserve"> </v>
      </c>
    </row>
    <row r="1830" spans="5:6" hidden="1" x14ac:dyDescent="0.35">
      <c r="E1830" s="96" t="str">
        <f t="shared" si="40"/>
        <v xml:space="preserve"> </v>
      </c>
      <c r="F1830" s="96" t="str">
        <f t="shared" si="40"/>
        <v xml:space="preserve"> </v>
      </c>
    </row>
    <row r="1831" spans="5:6" hidden="1" x14ac:dyDescent="0.35">
      <c r="E1831" s="96" t="str">
        <f t="shared" si="40"/>
        <v xml:space="preserve"> </v>
      </c>
      <c r="F1831" s="96" t="str">
        <f t="shared" si="40"/>
        <v xml:space="preserve"> </v>
      </c>
    </row>
    <row r="1832" spans="5:6" hidden="1" x14ac:dyDescent="0.35">
      <c r="E1832" s="96" t="str">
        <f t="shared" si="40"/>
        <v xml:space="preserve"> </v>
      </c>
      <c r="F1832" s="96" t="str">
        <f t="shared" si="40"/>
        <v xml:space="preserve"> </v>
      </c>
    </row>
    <row r="1833" spans="5:6" hidden="1" x14ac:dyDescent="0.35">
      <c r="E1833" s="96" t="str">
        <f t="shared" si="40"/>
        <v xml:space="preserve"> </v>
      </c>
      <c r="F1833" s="96" t="str">
        <f t="shared" si="40"/>
        <v xml:space="preserve"> </v>
      </c>
    </row>
    <row r="1834" spans="5:6" hidden="1" x14ac:dyDescent="0.35">
      <c r="E1834" s="96" t="str">
        <f t="shared" si="40"/>
        <v xml:space="preserve"> </v>
      </c>
      <c r="F1834" s="96" t="str">
        <f t="shared" si="40"/>
        <v xml:space="preserve"> </v>
      </c>
    </row>
    <row r="1835" spans="5:6" hidden="1" x14ac:dyDescent="0.35">
      <c r="E1835" s="96" t="str">
        <f t="shared" si="40"/>
        <v xml:space="preserve"> </v>
      </c>
      <c r="F1835" s="96" t="str">
        <f t="shared" si="40"/>
        <v xml:space="preserve"> </v>
      </c>
    </row>
    <row r="1836" spans="5:6" hidden="1" x14ac:dyDescent="0.35">
      <c r="E1836" s="96" t="str">
        <f t="shared" si="40"/>
        <v xml:space="preserve"> </v>
      </c>
      <c r="F1836" s="96" t="str">
        <f t="shared" si="40"/>
        <v xml:space="preserve"> </v>
      </c>
    </row>
    <row r="1837" spans="5:6" hidden="1" x14ac:dyDescent="0.35">
      <c r="E1837" s="96" t="str">
        <f t="shared" si="40"/>
        <v xml:space="preserve"> </v>
      </c>
      <c r="F1837" s="96" t="str">
        <f t="shared" si="40"/>
        <v xml:space="preserve"> </v>
      </c>
    </row>
    <row r="1838" spans="5:6" hidden="1" x14ac:dyDescent="0.35">
      <c r="E1838" s="96" t="str">
        <f t="shared" si="40"/>
        <v xml:space="preserve"> </v>
      </c>
      <c r="F1838" s="96" t="str">
        <f t="shared" si="40"/>
        <v xml:space="preserve"> </v>
      </c>
    </row>
    <row r="1839" spans="5:6" hidden="1" x14ac:dyDescent="0.35">
      <c r="E1839" s="96" t="str">
        <f t="shared" si="40"/>
        <v xml:space="preserve"> </v>
      </c>
      <c r="F1839" s="96" t="str">
        <f t="shared" si="40"/>
        <v xml:space="preserve"> </v>
      </c>
    </row>
    <row r="1840" spans="5:6" hidden="1" x14ac:dyDescent="0.35">
      <c r="E1840" s="96" t="str">
        <f t="shared" si="40"/>
        <v xml:space="preserve"> </v>
      </c>
      <c r="F1840" s="96" t="str">
        <f t="shared" si="40"/>
        <v xml:space="preserve"> </v>
      </c>
    </row>
    <row r="1841" spans="5:6" hidden="1" x14ac:dyDescent="0.35">
      <c r="E1841" s="96" t="str">
        <f t="shared" si="40"/>
        <v xml:space="preserve"> </v>
      </c>
      <c r="F1841" s="96" t="str">
        <f t="shared" si="40"/>
        <v xml:space="preserve"> </v>
      </c>
    </row>
    <row r="1842" spans="5:6" hidden="1" x14ac:dyDescent="0.35">
      <c r="E1842" s="96" t="str">
        <f t="shared" si="40"/>
        <v xml:space="preserve"> </v>
      </c>
      <c r="F1842" s="96" t="str">
        <f t="shared" si="40"/>
        <v xml:space="preserve"> </v>
      </c>
    </row>
    <row r="1843" spans="5:6" hidden="1" x14ac:dyDescent="0.35">
      <c r="E1843" s="96" t="str">
        <f t="shared" si="40"/>
        <v xml:space="preserve"> </v>
      </c>
      <c r="F1843" s="96" t="str">
        <f t="shared" si="40"/>
        <v xml:space="preserve"> </v>
      </c>
    </row>
    <row r="1844" spans="5:6" hidden="1" x14ac:dyDescent="0.35">
      <c r="E1844" s="96" t="str">
        <f t="shared" si="40"/>
        <v xml:space="preserve"> </v>
      </c>
      <c r="F1844" s="96" t="str">
        <f t="shared" si="40"/>
        <v xml:space="preserve"> </v>
      </c>
    </row>
    <row r="1845" spans="5:6" hidden="1" x14ac:dyDescent="0.35">
      <c r="E1845" s="96" t="str">
        <f t="shared" si="40"/>
        <v xml:space="preserve"> </v>
      </c>
      <c r="F1845" s="96" t="str">
        <f t="shared" si="40"/>
        <v xml:space="preserve"> </v>
      </c>
    </row>
    <row r="1846" spans="5:6" hidden="1" x14ac:dyDescent="0.35">
      <c r="E1846" s="96" t="str">
        <f t="shared" si="40"/>
        <v xml:space="preserve"> </v>
      </c>
      <c r="F1846" s="96" t="str">
        <f t="shared" si="40"/>
        <v xml:space="preserve"> </v>
      </c>
    </row>
    <row r="1847" spans="5:6" hidden="1" x14ac:dyDescent="0.35">
      <c r="E1847" s="96" t="str">
        <f t="shared" si="40"/>
        <v xml:space="preserve"> </v>
      </c>
      <c r="F1847" s="96" t="str">
        <f t="shared" si="40"/>
        <v xml:space="preserve"> </v>
      </c>
    </row>
    <row r="1848" spans="5:6" hidden="1" x14ac:dyDescent="0.35">
      <c r="E1848" s="96" t="str">
        <f t="shared" si="40"/>
        <v xml:space="preserve"> </v>
      </c>
      <c r="F1848" s="96" t="str">
        <f t="shared" si="40"/>
        <v xml:space="preserve"> </v>
      </c>
    </row>
    <row r="1849" spans="5:6" hidden="1" x14ac:dyDescent="0.35">
      <c r="E1849" s="96" t="str">
        <f t="shared" si="40"/>
        <v xml:space="preserve"> </v>
      </c>
      <c r="F1849" s="96" t="str">
        <f t="shared" si="40"/>
        <v xml:space="preserve"> </v>
      </c>
    </row>
    <row r="1850" spans="5:6" hidden="1" x14ac:dyDescent="0.35">
      <c r="E1850" s="96" t="str">
        <f t="shared" si="40"/>
        <v xml:space="preserve"> </v>
      </c>
      <c r="F1850" s="96" t="str">
        <f t="shared" si="40"/>
        <v xml:space="preserve"> </v>
      </c>
    </row>
    <row r="1851" spans="5:6" hidden="1" x14ac:dyDescent="0.35">
      <c r="E1851" s="96" t="str">
        <f t="shared" si="40"/>
        <v xml:space="preserve"> </v>
      </c>
      <c r="F1851" s="96" t="str">
        <f t="shared" si="40"/>
        <v xml:space="preserve"> </v>
      </c>
    </row>
    <row r="1852" spans="5:6" hidden="1" x14ac:dyDescent="0.35">
      <c r="E1852" s="96" t="str">
        <f t="shared" si="40"/>
        <v xml:space="preserve"> </v>
      </c>
      <c r="F1852" s="96" t="str">
        <f t="shared" si="40"/>
        <v xml:space="preserve"> </v>
      </c>
    </row>
    <row r="1853" spans="5:6" hidden="1" x14ac:dyDescent="0.35">
      <c r="E1853" s="96" t="str">
        <f t="shared" si="40"/>
        <v xml:space="preserve"> </v>
      </c>
      <c r="F1853" s="96" t="str">
        <f t="shared" si="40"/>
        <v xml:space="preserve"> </v>
      </c>
    </row>
    <row r="1854" spans="5:6" hidden="1" x14ac:dyDescent="0.35">
      <c r="E1854" s="96" t="str">
        <f t="shared" si="40"/>
        <v xml:space="preserve"> </v>
      </c>
      <c r="F1854" s="96" t="str">
        <f t="shared" si="40"/>
        <v xml:space="preserve"> </v>
      </c>
    </row>
    <row r="1855" spans="5:6" hidden="1" x14ac:dyDescent="0.35">
      <c r="E1855" s="96" t="str">
        <f t="shared" si="40"/>
        <v xml:space="preserve"> </v>
      </c>
      <c r="F1855" s="96" t="str">
        <f t="shared" si="40"/>
        <v xml:space="preserve"> </v>
      </c>
    </row>
    <row r="1856" spans="5:6" hidden="1" x14ac:dyDescent="0.35">
      <c r="E1856" s="96" t="str">
        <f t="shared" si="40"/>
        <v xml:space="preserve"> </v>
      </c>
      <c r="F1856" s="96" t="str">
        <f t="shared" si="40"/>
        <v xml:space="preserve"> </v>
      </c>
    </row>
    <row r="1857" spans="5:6" hidden="1" x14ac:dyDescent="0.35">
      <c r="E1857" s="96" t="str">
        <f t="shared" si="40"/>
        <v xml:space="preserve"> </v>
      </c>
      <c r="F1857" s="96" t="str">
        <f t="shared" si="40"/>
        <v xml:space="preserve"> </v>
      </c>
    </row>
    <row r="1858" spans="5:6" hidden="1" x14ac:dyDescent="0.35">
      <c r="E1858" s="96" t="str">
        <f t="shared" si="40"/>
        <v xml:space="preserve"> </v>
      </c>
      <c r="F1858" s="96" t="str">
        <f t="shared" si="40"/>
        <v xml:space="preserve"> </v>
      </c>
    </row>
    <row r="1859" spans="5:6" hidden="1" x14ac:dyDescent="0.35">
      <c r="E1859" s="96" t="str">
        <f t="shared" si="40"/>
        <v xml:space="preserve"> </v>
      </c>
      <c r="F1859" s="96" t="str">
        <f t="shared" si="40"/>
        <v xml:space="preserve"> </v>
      </c>
    </row>
    <row r="1860" spans="5:6" hidden="1" x14ac:dyDescent="0.35">
      <c r="E1860" s="96" t="str">
        <f t="shared" si="40"/>
        <v xml:space="preserve"> </v>
      </c>
      <c r="F1860" s="96" t="str">
        <f t="shared" si="40"/>
        <v xml:space="preserve"> </v>
      </c>
    </row>
    <row r="1861" spans="5:6" hidden="1" x14ac:dyDescent="0.35">
      <c r="E1861" s="96" t="str">
        <f t="shared" si="40"/>
        <v xml:space="preserve"> </v>
      </c>
      <c r="F1861" s="96" t="str">
        <f t="shared" si="40"/>
        <v xml:space="preserve"> </v>
      </c>
    </row>
    <row r="1862" spans="5:6" hidden="1" x14ac:dyDescent="0.35">
      <c r="E1862" s="96" t="str">
        <f t="shared" si="40"/>
        <v xml:space="preserve"> </v>
      </c>
      <c r="F1862" s="96" t="str">
        <f t="shared" si="40"/>
        <v xml:space="preserve"> </v>
      </c>
    </row>
    <row r="1863" spans="5:6" hidden="1" x14ac:dyDescent="0.35">
      <c r="E1863" s="96" t="str">
        <f t="shared" si="40"/>
        <v xml:space="preserve"> </v>
      </c>
      <c r="F1863" s="96" t="str">
        <f t="shared" si="40"/>
        <v xml:space="preserve"> </v>
      </c>
    </row>
    <row r="1864" spans="5:6" hidden="1" x14ac:dyDescent="0.35">
      <c r="E1864" s="96" t="str">
        <f t="shared" si="40"/>
        <v xml:space="preserve"> </v>
      </c>
      <c r="F1864" s="96" t="str">
        <f t="shared" si="40"/>
        <v xml:space="preserve"> </v>
      </c>
    </row>
    <row r="1865" spans="5:6" hidden="1" x14ac:dyDescent="0.35">
      <c r="E1865" s="96" t="str">
        <f t="shared" si="40"/>
        <v xml:space="preserve"> </v>
      </c>
      <c r="F1865" s="96" t="str">
        <f t="shared" si="40"/>
        <v xml:space="preserve"> </v>
      </c>
    </row>
    <row r="1866" spans="5:6" hidden="1" x14ac:dyDescent="0.35">
      <c r="E1866" s="96" t="str">
        <f t="shared" si="40"/>
        <v xml:space="preserve"> </v>
      </c>
      <c r="F1866" s="96" t="str">
        <f t="shared" si="40"/>
        <v xml:space="preserve"> </v>
      </c>
    </row>
    <row r="1867" spans="5:6" hidden="1" x14ac:dyDescent="0.35">
      <c r="E1867" s="96" t="str">
        <f t="shared" si="40"/>
        <v xml:space="preserve"> </v>
      </c>
      <c r="F1867" s="96" t="str">
        <f t="shared" si="40"/>
        <v xml:space="preserve"> </v>
      </c>
    </row>
    <row r="1868" spans="5:6" hidden="1" x14ac:dyDescent="0.35">
      <c r="E1868" s="96" t="str">
        <f t="shared" si="40"/>
        <v xml:space="preserve"> </v>
      </c>
      <c r="F1868" s="96" t="str">
        <f t="shared" si="40"/>
        <v xml:space="preserve"> </v>
      </c>
    </row>
    <row r="1869" spans="5:6" hidden="1" x14ac:dyDescent="0.35">
      <c r="E1869" s="96" t="str">
        <f t="shared" si="40"/>
        <v xml:space="preserve"> </v>
      </c>
      <c r="F1869" s="96" t="str">
        <f t="shared" si="40"/>
        <v xml:space="preserve"> </v>
      </c>
    </row>
    <row r="1870" spans="5:6" hidden="1" x14ac:dyDescent="0.35">
      <c r="E1870" s="96" t="str">
        <f t="shared" si="40"/>
        <v xml:space="preserve"> </v>
      </c>
      <c r="F1870" s="96" t="str">
        <f t="shared" si="40"/>
        <v xml:space="preserve"> </v>
      </c>
    </row>
    <row r="1871" spans="5:6" hidden="1" x14ac:dyDescent="0.35">
      <c r="E1871" s="96" t="str">
        <f t="shared" si="40"/>
        <v xml:space="preserve"> </v>
      </c>
      <c r="F1871" s="96" t="str">
        <f t="shared" si="40"/>
        <v xml:space="preserve"> </v>
      </c>
    </row>
    <row r="1872" spans="5:6" hidden="1" x14ac:dyDescent="0.35">
      <c r="E1872" s="96" t="str">
        <f t="shared" si="40"/>
        <v xml:space="preserve"> </v>
      </c>
      <c r="F1872" s="96" t="str">
        <f t="shared" si="40"/>
        <v xml:space="preserve"> </v>
      </c>
    </row>
    <row r="1873" spans="5:6" hidden="1" x14ac:dyDescent="0.35">
      <c r="E1873" s="96" t="str">
        <f t="shared" si="40"/>
        <v xml:space="preserve"> </v>
      </c>
      <c r="F1873" s="96" t="str">
        <f t="shared" si="40"/>
        <v xml:space="preserve"> </v>
      </c>
    </row>
    <row r="1874" spans="5:6" hidden="1" x14ac:dyDescent="0.35">
      <c r="E1874" s="96" t="str">
        <f t="shared" si="40"/>
        <v xml:space="preserve"> </v>
      </c>
      <c r="F1874" s="96" t="str">
        <f t="shared" si="40"/>
        <v xml:space="preserve"> </v>
      </c>
    </row>
    <row r="1875" spans="5:6" hidden="1" x14ac:dyDescent="0.35">
      <c r="E1875" s="96" t="str">
        <f t="shared" si="40"/>
        <v xml:space="preserve"> </v>
      </c>
      <c r="F1875" s="96" t="str">
        <f t="shared" si="40"/>
        <v xml:space="preserve"> </v>
      </c>
    </row>
    <row r="1876" spans="5:6" hidden="1" x14ac:dyDescent="0.35">
      <c r="E1876" s="96" t="str">
        <f t="shared" si="40"/>
        <v xml:space="preserve"> </v>
      </c>
      <c r="F1876" s="96" t="str">
        <f t="shared" si="40"/>
        <v xml:space="preserve"> </v>
      </c>
    </row>
    <row r="1877" spans="5:6" hidden="1" x14ac:dyDescent="0.35">
      <c r="E1877" s="96" t="str">
        <f t="shared" si="40"/>
        <v xml:space="preserve"> </v>
      </c>
      <c r="F1877" s="96" t="str">
        <f t="shared" si="40"/>
        <v xml:space="preserve"> </v>
      </c>
    </row>
    <row r="1878" spans="5:6" hidden="1" x14ac:dyDescent="0.35">
      <c r="E1878" s="96" t="str">
        <f t="shared" si="40"/>
        <v xml:space="preserve"> </v>
      </c>
      <c r="F1878" s="96" t="str">
        <f t="shared" si="40"/>
        <v xml:space="preserve"> </v>
      </c>
    </row>
    <row r="1879" spans="5:6" hidden="1" x14ac:dyDescent="0.35">
      <c r="E1879" s="96" t="str">
        <f t="shared" ref="E1879:F1942" si="41">IF((IFERROR(C1879/C1878-1," "))=-1," ",IFERROR(C1879/C1878-1," "))</f>
        <v xml:space="preserve"> </v>
      </c>
      <c r="F1879" s="96" t="str">
        <f t="shared" si="41"/>
        <v xml:space="preserve"> </v>
      </c>
    </row>
    <row r="1880" spans="5:6" hidden="1" x14ac:dyDescent="0.35">
      <c r="E1880" s="96" t="str">
        <f t="shared" si="41"/>
        <v xml:space="preserve"> </v>
      </c>
      <c r="F1880" s="96" t="str">
        <f t="shared" si="41"/>
        <v xml:space="preserve"> </v>
      </c>
    </row>
    <row r="1881" spans="5:6" hidden="1" x14ac:dyDescent="0.35">
      <c r="E1881" s="96" t="str">
        <f t="shared" si="41"/>
        <v xml:space="preserve"> </v>
      </c>
      <c r="F1881" s="96" t="str">
        <f t="shared" si="41"/>
        <v xml:space="preserve"> </v>
      </c>
    </row>
    <row r="1882" spans="5:6" hidden="1" x14ac:dyDescent="0.35">
      <c r="E1882" s="96" t="str">
        <f t="shared" si="41"/>
        <v xml:space="preserve"> </v>
      </c>
      <c r="F1882" s="96" t="str">
        <f t="shared" si="41"/>
        <v xml:space="preserve"> </v>
      </c>
    </row>
    <row r="1883" spans="5:6" hidden="1" x14ac:dyDescent="0.35">
      <c r="E1883" s="96" t="str">
        <f t="shared" si="41"/>
        <v xml:space="preserve"> </v>
      </c>
      <c r="F1883" s="96" t="str">
        <f t="shared" si="41"/>
        <v xml:space="preserve"> </v>
      </c>
    </row>
    <row r="1884" spans="5:6" hidden="1" x14ac:dyDescent="0.35">
      <c r="E1884" s="96" t="str">
        <f t="shared" si="41"/>
        <v xml:space="preserve"> </v>
      </c>
      <c r="F1884" s="96" t="str">
        <f t="shared" si="41"/>
        <v xml:space="preserve"> </v>
      </c>
    </row>
    <row r="1885" spans="5:6" hidden="1" x14ac:dyDescent="0.35">
      <c r="E1885" s="96" t="str">
        <f t="shared" si="41"/>
        <v xml:space="preserve"> </v>
      </c>
      <c r="F1885" s="96" t="str">
        <f t="shared" si="41"/>
        <v xml:space="preserve"> </v>
      </c>
    </row>
    <row r="1886" spans="5:6" hidden="1" x14ac:dyDescent="0.35">
      <c r="E1886" s="96" t="str">
        <f t="shared" si="41"/>
        <v xml:space="preserve"> </v>
      </c>
      <c r="F1886" s="96" t="str">
        <f t="shared" si="41"/>
        <v xml:space="preserve"> </v>
      </c>
    </row>
    <row r="1887" spans="5:6" hidden="1" x14ac:dyDescent="0.35">
      <c r="E1887" s="96" t="str">
        <f t="shared" si="41"/>
        <v xml:space="preserve"> </v>
      </c>
      <c r="F1887" s="96" t="str">
        <f t="shared" si="41"/>
        <v xml:space="preserve"> </v>
      </c>
    </row>
    <row r="1888" spans="5:6" hidden="1" x14ac:dyDescent="0.35">
      <c r="E1888" s="96" t="str">
        <f t="shared" si="41"/>
        <v xml:space="preserve"> </v>
      </c>
      <c r="F1888" s="96" t="str">
        <f t="shared" si="41"/>
        <v xml:space="preserve"> </v>
      </c>
    </row>
    <row r="1889" spans="5:6" hidden="1" x14ac:dyDescent="0.35">
      <c r="E1889" s="96" t="str">
        <f t="shared" si="41"/>
        <v xml:space="preserve"> </v>
      </c>
      <c r="F1889" s="96" t="str">
        <f t="shared" si="41"/>
        <v xml:space="preserve"> </v>
      </c>
    </row>
    <row r="1890" spans="5:6" hidden="1" x14ac:dyDescent="0.35">
      <c r="E1890" s="96" t="str">
        <f t="shared" si="41"/>
        <v xml:space="preserve"> </v>
      </c>
      <c r="F1890" s="96" t="str">
        <f t="shared" si="41"/>
        <v xml:space="preserve"> </v>
      </c>
    </row>
    <row r="1891" spans="5:6" hidden="1" x14ac:dyDescent="0.35">
      <c r="E1891" s="96" t="str">
        <f t="shared" si="41"/>
        <v xml:space="preserve"> </v>
      </c>
      <c r="F1891" s="96" t="str">
        <f t="shared" si="41"/>
        <v xml:space="preserve"> </v>
      </c>
    </row>
    <row r="1892" spans="5:6" hidden="1" x14ac:dyDescent="0.35">
      <c r="E1892" s="96" t="str">
        <f t="shared" si="41"/>
        <v xml:space="preserve"> </v>
      </c>
      <c r="F1892" s="96" t="str">
        <f t="shared" si="41"/>
        <v xml:space="preserve"> </v>
      </c>
    </row>
    <row r="1893" spans="5:6" hidden="1" x14ac:dyDescent="0.35">
      <c r="E1893" s="96" t="str">
        <f t="shared" si="41"/>
        <v xml:space="preserve"> </v>
      </c>
      <c r="F1893" s="96" t="str">
        <f t="shared" si="41"/>
        <v xml:space="preserve"> </v>
      </c>
    </row>
    <row r="1894" spans="5:6" hidden="1" x14ac:dyDescent="0.35">
      <c r="E1894" s="96" t="str">
        <f t="shared" si="41"/>
        <v xml:space="preserve"> </v>
      </c>
      <c r="F1894" s="96" t="str">
        <f t="shared" si="41"/>
        <v xml:space="preserve"> </v>
      </c>
    </row>
    <row r="1895" spans="5:6" hidden="1" x14ac:dyDescent="0.35">
      <c r="E1895" s="96" t="str">
        <f t="shared" si="41"/>
        <v xml:space="preserve"> </v>
      </c>
      <c r="F1895" s="96" t="str">
        <f t="shared" si="41"/>
        <v xml:space="preserve"> </v>
      </c>
    </row>
    <row r="1896" spans="5:6" hidden="1" x14ac:dyDescent="0.35">
      <c r="E1896" s="96" t="str">
        <f t="shared" si="41"/>
        <v xml:space="preserve"> </v>
      </c>
      <c r="F1896" s="96" t="str">
        <f t="shared" si="41"/>
        <v xml:space="preserve"> </v>
      </c>
    </row>
    <row r="1897" spans="5:6" hidden="1" x14ac:dyDescent="0.35">
      <c r="E1897" s="96" t="str">
        <f t="shared" si="41"/>
        <v xml:space="preserve"> </v>
      </c>
      <c r="F1897" s="96" t="str">
        <f t="shared" si="41"/>
        <v xml:space="preserve"> </v>
      </c>
    </row>
    <row r="1898" spans="5:6" hidden="1" x14ac:dyDescent="0.35">
      <c r="E1898" s="96" t="str">
        <f t="shared" si="41"/>
        <v xml:space="preserve"> </v>
      </c>
      <c r="F1898" s="96" t="str">
        <f t="shared" si="41"/>
        <v xml:space="preserve"> </v>
      </c>
    </row>
    <row r="1899" spans="5:6" hidden="1" x14ac:dyDescent="0.35">
      <c r="E1899" s="96" t="str">
        <f t="shared" si="41"/>
        <v xml:space="preserve"> </v>
      </c>
      <c r="F1899" s="96" t="str">
        <f t="shared" si="41"/>
        <v xml:space="preserve"> </v>
      </c>
    </row>
    <row r="1900" spans="5:6" hidden="1" x14ac:dyDescent="0.35">
      <c r="E1900" s="96" t="str">
        <f t="shared" si="41"/>
        <v xml:space="preserve"> </v>
      </c>
      <c r="F1900" s="96" t="str">
        <f t="shared" si="41"/>
        <v xml:space="preserve"> </v>
      </c>
    </row>
    <row r="1901" spans="5:6" hidden="1" x14ac:dyDescent="0.35">
      <c r="E1901" s="96" t="str">
        <f t="shared" si="41"/>
        <v xml:space="preserve"> </v>
      </c>
      <c r="F1901" s="96" t="str">
        <f t="shared" si="41"/>
        <v xml:space="preserve"> </v>
      </c>
    </row>
    <row r="1902" spans="5:6" hidden="1" x14ac:dyDescent="0.35">
      <c r="E1902" s="96" t="str">
        <f t="shared" si="41"/>
        <v xml:space="preserve"> </v>
      </c>
      <c r="F1902" s="96" t="str">
        <f t="shared" si="41"/>
        <v xml:space="preserve"> </v>
      </c>
    </row>
    <row r="1903" spans="5:6" hidden="1" x14ac:dyDescent="0.35">
      <c r="E1903" s="96" t="str">
        <f t="shared" si="41"/>
        <v xml:space="preserve"> </v>
      </c>
      <c r="F1903" s="96" t="str">
        <f t="shared" si="41"/>
        <v xml:space="preserve"> </v>
      </c>
    </row>
    <row r="1904" spans="5:6" hidden="1" x14ac:dyDescent="0.35">
      <c r="E1904" s="96" t="str">
        <f t="shared" si="41"/>
        <v xml:space="preserve"> </v>
      </c>
      <c r="F1904" s="96" t="str">
        <f t="shared" si="41"/>
        <v xml:space="preserve"> </v>
      </c>
    </row>
    <row r="1905" spans="5:6" hidden="1" x14ac:dyDescent="0.35">
      <c r="E1905" s="96" t="str">
        <f t="shared" si="41"/>
        <v xml:space="preserve"> </v>
      </c>
      <c r="F1905" s="96" t="str">
        <f t="shared" si="41"/>
        <v xml:space="preserve"> </v>
      </c>
    </row>
    <row r="1906" spans="5:6" hidden="1" x14ac:dyDescent="0.35">
      <c r="E1906" s="96" t="str">
        <f t="shared" si="41"/>
        <v xml:space="preserve"> </v>
      </c>
      <c r="F1906" s="96" t="str">
        <f t="shared" si="41"/>
        <v xml:space="preserve"> </v>
      </c>
    </row>
    <row r="1907" spans="5:6" hidden="1" x14ac:dyDescent="0.35">
      <c r="E1907" s="96" t="str">
        <f t="shared" si="41"/>
        <v xml:space="preserve"> </v>
      </c>
      <c r="F1907" s="96" t="str">
        <f t="shared" si="41"/>
        <v xml:space="preserve"> </v>
      </c>
    </row>
    <row r="1908" spans="5:6" hidden="1" x14ac:dyDescent="0.35">
      <c r="E1908" s="96" t="str">
        <f t="shared" si="41"/>
        <v xml:space="preserve"> </v>
      </c>
      <c r="F1908" s="96" t="str">
        <f t="shared" si="41"/>
        <v xml:space="preserve"> </v>
      </c>
    </row>
    <row r="1909" spans="5:6" hidden="1" x14ac:dyDescent="0.35">
      <c r="E1909" s="96" t="str">
        <f t="shared" si="41"/>
        <v xml:space="preserve"> </v>
      </c>
      <c r="F1909" s="96" t="str">
        <f t="shared" si="41"/>
        <v xml:space="preserve"> </v>
      </c>
    </row>
    <row r="1910" spans="5:6" hidden="1" x14ac:dyDescent="0.35">
      <c r="E1910" s="96" t="str">
        <f t="shared" si="41"/>
        <v xml:space="preserve"> </v>
      </c>
      <c r="F1910" s="96" t="str">
        <f t="shared" si="41"/>
        <v xml:space="preserve"> </v>
      </c>
    </row>
    <row r="1911" spans="5:6" hidden="1" x14ac:dyDescent="0.35">
      <c r="E1911" s="96" t="str">
        <f t="shared" si="41"/>
        <v xml:space="preserve"> </v>
      </c>
      <c r="F1911" s="96" t="str">
        <f t="shared" si="41"/>
        <v xml:space="preserve"> </v>
      </c>
    </row>
    <row r="1912" spans="5:6" hidden="1" x14ac:dyDescent="0.35">
      <c r="E1912" s="96" t="str">
        <f t="shared" si="41"/>
        <v xml:space="preserve"> </v>
      </c>
      <c r="F1912" s="96" t="str">
        <f t="shared" si="41"/>
        <v xml:space="preserve"> </v>
      </c>
    </row>
    <row r="1913" spans="5:6" hidden="1" x14ac:dyDescent="0.35">
      <c r="E1913" s="96" t="str">
        <f t="shared" si="41"/>
        <v xml:space="preserve"> </v>
      </c>
      <c r="F1913" s="96" t="str">
        <f t="shared" si="41"/>
        <v xml:space="preserve"> </v>
      </c>
    </row>
    <row r="1914" spans="5:6" hidden="1" x14ac:dyDescent="0.35">
      <c r="E1914" s="96" t="str">
        <f t="shared" si="41"/>
        <v xml:space="preserve"> </v>
      </c>
      <c r="F1914" s="96" t="str">
        <f t="shared" si="41"/>
        <v xml:space="preserve"> </v>
      </c>
    </row>
    <row r="1915" spans="5:6" hidden="1" x14ac:dyDescent="0.35">
      <c r="E1915" s="96" t="str">
        <f t="shared" si="41"/>
        <v xml:space="preserve"> </v>
      </c>
      <c r="F1915" s="96" t="str">
        <f t="shared" si="41"/>
        <v xml:space="preserve"> </v>
      </c>
    </row>
    <row r="1916" spans="5:6" hidden="1" x14ac:dyDescent="0.35">
      <c r="E1916" s="96" t="str">
        <f t="shared" si="41"/>
        <v xml:space="preserve"> </v>
      </c>
      <c r="F1916" s="96" t="str">
        <f t="shared" si="41"/>
        <v xml:space="preserve"> </v>
      </c>
    </row>
    <row r="1917" spans="5:6" hidden="1" x14ac:dyDescent="0.35">
      <c r="E1917" s="96" t="str">
        <f t="shared" si="41"/>
        <v xml:space="preserve"> </v>
      </c>
      <c r="F1917" s="96" t="str">
        <f t="shared" si="41"/>
        <v xml:space="preserve"> </v>
      </c>
    </row>
    <row r="1918" spans="5:6" hidden="1" x14ac:dyDescent="0.35">
      <c r="E1918" s="96" t="str">
        <f t="shared" si="41"/>
        <v xml:space="preserve"> </v>
      </c>
      <c r="F1918" s="96" t="str">
        <f t="shared" si="41"/>
        <v xml:space="preserve"> </v>
      </c>
    </row>
    <row r="1919" spans="5:6" hidden="1" x14ac:dyDescent="0.35">
      <c r="E1919" s="96" t="str">
        <f t="shared" si="41"/>
        <v xml:space="preserve"> </v>
      </c>
      <c r="F1919" s="96" t="str">
        <f t="shared" si="41"/>
        <v xml:space="preserve"> </v>
      </c>
    </row>
    <row r="1920" spans="5:6" hidden="1" x14ac:dyDescent="0.35">
      <c r="E1920" s="96" t="str">
        <f t="shared" si="41"/>
        <v xml:space="preserve"> </v>
      </c>
      <c r="F1920" s="96" t="str">
        <f t="shared" si="41"/>
        <v xml:space="preserve"> </v>
      </c>
    </row>
    <row r="1921" spans="5:6" hidden="1" x14ac:dyDescent="0.35">
      <c r="E1921" s="96" t="str">
        <f t="shared" si="41"/>
        <v xml:space="preserve"> </v>
      </c>
      <c r="F1921" s="96" t="str">
        <f t="shared" si="41"/>
        <v xml:space="preserve"> </v>
      </c>
    </row>
    <row r="1922" spans="5:6" hidden="1" x14ac:dyDescent="0.35">
      <c r="E1922" s="96" t="str">
        <f t="shared" si="41"/>
        <v xml:space="preserve"> </v>
      </c>
      <c r="F1922" s="96" t="str">
        <f t="shared" si="41"/>
        <v xml:space="preserve"> </v>
      </c>
    </row>
    <row r="1923" spans="5:6" hidden="1" x14ac:dyDescent="0.35">
      <c r="E1923" s="96" t="str">
        <f t="shared" si="41"/>
        <v xml:space="preserve"> </v>
      </c>
      <c r="F1923" s="96" t="str">
        <f t="shared" si="41"/>
        <v xml:space="preserve"> </v>
      </c>
    </row>
    <row r="1924" spans="5:6" hidden="1" x14ac:dyDescent="0.35">
      <c r="E1924" s="96" t="str">
        <f t="shared" si="41"/>
        <v xml:space="preserve"> </v>
      </c>
      <c r="F1924" s="96" t="str">
        <f t="shared" si="41"/>
        <v xml:space="preserve"> </v>
      </c>
    </row>
    <row r="1925" spans="5:6" hidden="1" x14ac:dyDescent="0.35">
      <c r="E1925" s="96" t="str">
        <f t="shared" si="41"/>
        <v xml:space="preserve"> </v>
      </c>
      <c r="F1925" s="96" t="str">
        <f t="shared" si="41"/>
        <v xml:space="preserve"> </v>
      </c>
    </row>
    <row r="1926" spans="5:6" hidden="1" x14ac:dyDescent="0.35">
      <c r="E1926" s="96" t="str">
        <f t="shared" si="41"/>
        <v xml:space="preserve"> </v>
      </c>
      <c r="F1926" s="96" t="str">
        <f t="shared" si="41"/>
        <v xml:space="preserve"> </v>
      </c>
    </row>
    <row r="1927" spans="5:6" hidden="1" x14ac:dyDescent="0.35">
      <c r="E1927" s="96" t="str">
        <f t="shared" si="41"/>
        <v xml:space="preserve"> </v>
      </c>
      <c r="F1927" s="96" t="str">
        <f t="shared" si="41"/>
        <v xml:space="preserve"> </v>
      </c>
    </row>
    <row r="1928" spans="5:6" hidden="1" x14ac:dyDescent="0.35">
      <c r="E1928" s="96" t="str">
        <f t="shared" si="41"/>
        <v xml:space="preserve"> </v>
      </c>
      <c r="F1928" s="96" t="str">
        <f t="shared" si="41"/>
        <v xml:space="preserve"> </v>
      </c>
    </row>
    <row r="1929" spans="5:6" hidden="1" x14ac:dyDescent="0.35">
      <c r="E1929" s="96" t="str">
        <f t="shared" si="41"/>
        <v xml:space="preserve"> </v>
      </c>
      <c r="F1929" s="96" t="str">
        <f t="shared" si="41"/>
        <v xml:space="preserve"> </v>
      </c>
    </row>
    <row r="1930" spans="5:6" hidden="1" x14ac:dyDescent="0.35">
      <c r="E1930" s="96" t="str">
        <f t="shared" si="41"/>
        <v xml:space="preserve"> </v>
      </c>
      <c r="F1930" s="96" t="str">
        <f t="shared" si="41"/>
        <v xml:space="preserve"> </v>
      </c>
    </row>
    <row r="1931" spans="5:6" hidden="1" x14ac:dyDescent="0.35">
      <c r="E1931" s="96" t="str">
        <f t="shared" si="41"/>
        <v xml:space="preserve"> </v>
      </c>
      <c r="F1931" s="96" t="str">
        <f t="shared" si="41"/>
        <v xml:space="preserve"> </v>
      </c>
    </row>
    <row r="1932" spans="5:6" hidden="1" x14ac:dyDescent="0.35">
      <c r="E1932" s="96" t="str">
        <f t="shared" si="41"/>
        <v xml:space="preserve"> </v>
      </c>
      <c r="F1932" s="96" t="str">
        <f t="shared" si="41"/>
        <v xml:space="preserve"> </v>
      </c>
    </row>
    <row r="1933" spans="5:6" hidden="1" x14ac:dyDescent="0.35">
      <c r="E1933" s="96" t="str">
        <f t="shared" si="41"/>
        <v xml:space="preserve"> </v>
      </c>
      <c r="F1933" s="96" t="str">
        <f t="shared" si="41"/>
        <v xml:space="preserve"> </v>
      </c>
    </row>
    <row r="1934" spans="5:6" hidden="1" x14ac:dyDescent="0.35">
      <c r="E1934" s="96" t="str">
        <f t="shared" si="41"/>
        <v xml:space="preserve"> </v>
      </c>
      <c r="F1934" s="96" t="str">
        <f t="shared" si="41"/>
        <v xml:space="preserve"> </v>
      </c>
    </row>
    <row r="1935" spans="5:6" hidden="1" x14ac:dyDescent="0.35">
      <c r="E1935" s="96" t="str">
        <f t="shared" si="41"/>
        <v xml:space="preserve"> </v>
      </c>
      <c r="F1935" s="96" t="str">
        <f t="shared" si="41"/>
        <v xml:space="preserve"> </v>
      </c>
    </row>
    <row r="1936" spans="5:6" hidden="1" x14ac:dyDescent="0.35">
      <c r="E1936" s="96" t="str">
        <f t="shared" si="41"/>
        <v xml:space="preserve"> </v>
      </c>
      <c r="F1936" s="96" t="str">
        <f t="shared" si="41"/>
        <v xml:space="preserve"> </v>
      </c>
    </row>
    <row r="1937" spans="5:6" hidden="1" x14ac:dyDescent="0.35">
      <c r="E1937" s="96" t="str">
        <f t="shared" si="41"/>
        <v xml:space="preserve"> </v>
      </c>
      <c r="F1937" s="96" t="str">
        <f t="shared" si="41"/>
        <v xml:space="preserve"> </v>
      </c>
    </row>
    <row r="1938" spans="5:6" hidden="1" x14ac:dyDescent="0.35">
      <c r="E1938" s="96" t="str">
        <f t="shared" si="41"/>
        <v xml:space="preserve"> </v>
      </c>
      <c r="F1938" s="96" t="str">
        <f t="shared" si="41"/>
        <v xml:space="preserve"> </v>
      </c>
    </row>
    <row r="1939" spans="5:6" hidden="1" x14ac:dyDescent="0.35">
      <c r="E1939" s="96" t="str">
        <f t="shared" si="41"/>
        <v xml:space="preserve"> </v>
      </c>
      <c r="F1939" s="96" t="str">
        <f t="shared" si="41"/>
        <v xml:space="preserve"> </v>
      </c>
    </row>
    <row r="1940" spans="5:6" hidden="1" x14ac:dyDescent="0.35">
      <c r="E1940" s="96" t="str">
        <f t="shared" si="41"/>
        <v xml:space="preserve"> </v>
      </c>
      <c r="F1940" s="96" t="str">
        <f t="shared" si="41"/>
        <v xml:space="preserve"> </v>
      </c>
    </row>
    <row r="1941" spans="5:6" hidden="1" x14ac:dyDescent="0.35">
      <c r="E1941" s="96" t="str">
        <f t="shared" si="41"/>
        <v xml:space="preserve"> </v>
      </c>
      <c r="F1941" s="96" t="str">
        <f t="shared" si="41"/>
        <v xml:space="preserve"> </v>
      </c>
    </row>
    <row r="1942" spans="5:6" hidden="1" x14ac:dyDescent="0.35">
      <c r="E1942" s="96" t="str">
        <f t="shared" si="41"/>
        <v xml:space="preserve"> </v>
      </c>
      <c r="F1942" s="96" t="str">
        <f t="shared" si="41"/>
        <v xml:space="preserve"> </v>
      </c>
    </row>
    <row r="1943" spans="5:6" hidden="1" x14ac:dyDescent="0.35">
      <c r="E1943" s="96" t="str">
        <f t="shared" ref="E1943:F2001" si="42">IF((IFERROR(C1943/C1942-1," "))=-1," ",IFERROR(C1943/C1942-1," "))</f>
        <v xml:space="preserve"> </v>
      </c>
      <c r="F1943" s="96" t="str">
        <f t="shared" si="42"/>
        <v xml:space="preserve"> </v>
      </c>
    </row>
    <row r="1944" spans="5:6" hidden="1" x14ac:dyDescent="0.35">
      <c r="E1944" s="96" t="str">
        <f t="shared" si="42"/>
        <v xml:space="preserve"> </v>
      </c>
      <c r="F1944" s="96" t="str">
        <f t="shared" si="42"/>
        <v xml:space="preserve"> </v>
      </c>
    </row>
    <row r="1945" spans="5:6" hidden="1" x14ac:dyDescent="0.35">
      <c r="E1945" s="96" t="str">
        <f t="shared" si="42"/>
        <v xml:space="preserve"> </v>
      </c>
      <c r="F1945" s="96" t="str">
        <f t="shared" si="42"/>
        <v xml:space="preserve"> </v>
      </c>
    </row>
    <row r="1946" spans="5:6" hidden="1" x14ac:dyDescent="0.35">
      <c r="E1946" s="96" t="str">
        <f t="shared" si="42"/>
        <v xml:space="preserve"> </v>
      </c>
      <c r="F1946" s="96" t="str">
        <f t="shared" si="42"/>
        <v xml:space="preserve"> </v>
      </c>
    </row>
    <row r="1947" spans="5:6" hidden="1" x14ac:dyDescent="0.35">
      <c r="E1947" s="96" t="str">
        <f t="shared" si="42"/>
        <v xml:space="preserve"> </v>
      </c>
      <c r="F1947" s="96" t="str">
        <f t="shared" si="42"/>
        <v xml:space="preserve"> </v>
      </c>
    </row>
    <row r="1948" spans="5:6" hidden="1" x14ac:dyDescent="0.35">
      <c r="E1948" s="96" t="str">
        <f t="shared" si="42"/>
        <v xml:space="preserve"> </v>
      </c>
      <c r="F1948" s="96" t="str">
        <f t="shared" si="42"/>
        <v xml:space="preserve"> </v>
      </c>
    </row>
    <row r="1949" spans="5:6" hidden="1" x14ac:dyDescent="0.35">
      <c r="E1949" s="96" t="str">
        <f t="shared" si="42"/>
        <v xml:space="preserve"> </v>
      </c>
      <c r="F1949" s="96" t="str">
        <f t="shared" si="42"/>
        <v xml:space="preserve"> </v>
      </c>
    </row>
    <row r="1950" spans="5:6" hidden="1" x14ac:dyDescent="0.35">
      <c r="E1950" s="96" t="str">
        <f t="shared" si="42"/>
        <v xml:space="preserve"> </v>
      </c>
      <c r="F1950" s="96" t="str">
        <f t="shared" si="42"/>
        <v xml:space="preserve"> </v>
      </c>
    </row>
    <row r="1951" spans="5:6" hidden="1" x14ac:dyDescent="0.35">
      <c r="E1951" s="96" t="str">
        <f t="shared" si="42"/>
        <v xml:space="preserve"> </v>
      </c>
      <c r="F1951" s="96" t="str">
        <f t="shared" si="42"/>
        <v xml:space="preserve"> </v>
      </c>
    </row>
    <row r="1952" spans="5:6" hidden="1" x14ac:dyDescent="0.35">
      <c r="E1952" s="96" t="str">
        <f t="shared" si="42"/>
        <v xml:space="preserve"> </v>
      </c>
      <c r="F1952" s="96" t="str">
        <f t="shared" si="42"/>
        <v xml:space="preserve"> </v>
      </c>
    </row>
    <row r="1953" spans="5:6" hidden="1" x14ac:dyDescent="0.35">
      <c r="E1953" s="96" t="str">
        <f t="shared" si="42"/>
        <v xml:space="preserve"> </v>
      </c>
      <c r="F1953" s="96" t="str">
        <f t="shared" si="42"/>
        <v xml:space="preserve"> </v>
      </c>
    </row>
    <row r="1954" spans="5:6" hidden="1" x14ac:dyDescent="0.35">
      <c r="E1954" s="96" t="str">
        <f t="shared" si="42"/>
        <v xml:space="preserve"> </v>
      </c>
      <c r="F1954" s="96" t="str">
        <f t="shared" si="42"/>
        <v xml:space="preserve"> </v>
      </c>
    </row>
    <row r="1955" spans="5:6" hidden="1" x14ac:dyDescent="0.35">
      <c r="E1955" s="96" t="str">
        <f t="shared" si="42"/>
        <v xml:space="preserve"> </v>
      </c>
      <c r="F1955" s="96" t="str">
        <f t="shared" si="42"/>
        <v xml:space="preserve"> </v>
      </c>
    </row>
    <row r="1956" spans="5:6" hidden="1" x14ac:dyDescent="0.35">
      <c r="E1956" s="96" t="str">
        <f t="shared" si="42"/>
        <v xml:space="preserve"> </v>
      </c>
      <c r="F1956" s="96" t="str">
        <f t="shared" si="42"/>
        <v xml:space="preserve"> </v>
      </c>
    </row>
    <row r="1957" spans="5:6" hidden="1" x14ac:dyDescent="0.35">
      <c r="E1957" s="96" t="str">
        <f t="shared" si="42"/>
        <v xml:space="preserve"> </v>
      </c>
      <c r="F1957" s="96" t="str">
        <f t="shared" si="42"/>
        <v xml:space="preserve"> </v>
      </c>
    </row>
    <row r="1958" spans="5:6" hidden="1" x14ac:dyDescent="0.35">
      <c r="E1958" s="96" t="str">
        <f t="shared" si="42"/>
        <v xml:space="preserve"> </v>
      </c>
      <c r="F1958" s="96" t="str">
        <f t="shared" si="42"/>
        <v xml:space="preserve"> </v>
      </c>
    </row>
    <row r="1959" spans="5:6" hidden="1" x14ac:dyDescent="0.35">
      <c r="E1959" s="96" t="str">
        <f t="shared" si="42"/>
        <v xml:space="preserve"> </v>
      </c>
      <c r="F1959" s="96" t="str">
        <f t="shared" si="42"/>
        <v xml:space="preserve"> </v>
      </c>
    </row>
    <row r="1960" spans="5:6" hidden="1" x14ac:dyDescent="0.35">
      <c r="E1960" s="96" t="str">
        <f t="shared" si="42"/>
        <v xml:space="preserve"> </v>
      </c>
      <c r="F1960" s="96" t="str">
        <f t="shared" si="42"/>
        <v xml:space="preserve"> </v>
      </c>
    </row>
    <row r="1961" spans="5:6" hidden="1" x14ac:dyDescent="0.35">
      <c r="E1961" s="96" t="str">
        <f t="shared" si="42"/>
        <v xml:space="preserve"> </v>
      </c>
      <c r="F1961" s="96" t="str">
        <f t="shared" si="42"/>
        <v xml:space="preserve"> </v>
      </c>
    </row>
    <row r="1962" spans="5:6" hidden="1" x14ac:dyDescent="0.35">
      <c r="E1962" s="96" t="str">
        <f t="shared" si="42"/>
        <v xml:space="preserve"> </v>
      </c>
      <c r="F1962" s="96" t="str">
        <f t="shared" si="42"/>
        <v xml:space="preserve"> </v>
      </c>
    </row>
    <row r="1963" spans="5:6" hidden="1" x14ac:dyDescent="0.35">
      <c r="E1963" s="96" t="str">
        <f t="shared" si="42"/>
        <v xml:space="preserve"> </v>
      </c>
      <c r="F1963" s="96" t="str">
        <f t="shared" si="42"/>
        <v xml:space="preserve"> </v>
      </c>
    </row>
    <row r="1964" spans="5:6" hidden="1" x14ac:dyDescent="0.35">
      <c r="E1964" s="96" t="str">
        <f t="shared" si="42"/>
        <v xml:space="preserve"> </v>
      </c>
      <c r="F1964" s="96" t="str">
        <f t="shared" si="42"/>
        <v xml:space="preserve"> </v>
      </c>
    </row>
    <row r="1965" spans="5:6" hidden="1" x14ac:dyDescent="0.35">
      <c r="E1965" s="96" t="str">
        <f t="shared" si="42"/>
        <v xml:space="preserve"> </v>
      </c>
      <c r="F1965" s="96" t="str">
        <f t="shared" si="42"/>
        <v xml:space="preserve"> </v>
      </c>
    </row>
    <row r="1966" spans="5:6" hidden="1" x14ac:dyDescent="0.35">
      <c r="E1966" s="96" t="str">
        <f t="shared" si="42"/>
        <v xml:space="preserve"> </v>
      </c>
      <c r="F1966" s="96" t="str">
        <f t="shared" si="42"/>
        <v xml:space="preserve"> </v>
      </c>
    </row>
    <row r="1967" spans="5:6" hidden="1" x14ac:dyDescent="0.35">
      <c r="E1967" s="96" t="str">
        <f t="shared" si="42"/>
        <v xml:space="preserve"> </v>
      </c>
      <c r="F1967" s="96" t="str">
        <f t="shared" si="42"/>
        <v xml:space="preserve"> </v>
      </c>
    </row>
    <row r="1968" spans="5:6" hidden="1" x14ac:dyDescent="0.35">
      <c r="E1968" s="96" t="str">
        <f t="shared" si="42"/>
        <v xml:space="preserve"> </v>
      </c>
      <c r="F1968" s="96" t="str">
        <f t="shared" si="42"/>
        <v xml:space="preserve"> </v>
      </c>
    </row>
    <row r="1969" spans="5:6" hidden="1" x14ac:dyDescent="0.35">
      <c r="E1969" s="96" t="str">
        <f t="shared" si="42"/>
        <v xml:space="preserve"> </v>
      </c>
      <c r="F1969" s="96" t="str">
        <f t="shared" si="42"/>
        <v xml:space="preserve"> </v>
      </c>
    </row>
    <row r="1970" spans="5:6" hidden="1" x14ac:dyDescent="0.35">
      <c r="E1970" s="96" t="str">
        <f t="shared" si="42"/>
        <v xml:space="preserve"> </v>
      </c>
      <c r="F1970" s="96" t="str">
        <f t="shared" si="42"/>
        <v xml:space="preserve"> </v>
      </c>
    </row>
    <row r="1971" spans="5:6" hidden="1" x14ac:dyDescent="0.35">
      <c r="E1971" s="96" t="str">
        <f t="shared" si="42"/>
        <v xml:space="preserve"> </v>
      </c>
      <c r="F1971" s="96" t="str">
        <f t="shared" si="42"/>
        <v xml:space="preserve"> </v>
      </c>
    </row>
    <row r="1972" spans="5:6" hidden="1" x14ac:dyDescent="0.35">
      <c r="E1972" s="96" t="str">
        <f t="shared" si="42"/>
        <v xml:space="preserve"> </v>
      </c>
      <c r="F1972" s="96" t="str">
        <f t="shared" si="42"/>
        <v xml:space="preserve"> </v>
      </c>
    </row>
    <row r="1973" spans="5:6" hidden="1" x14ac:dyDescent="0.35">
      <c r="E1973" s="96" t="str">
        <f t="shared" si="42"/>
        <v xml:space="preserve"> </v>
      </c>
      <c r="F1973" s="96" t="str">
        <f t="shared" si="42"/>
        <v xml:space="preserve"> </v>
      </c>
    </row>
    <row r="1974" spans="5:6" hidden="1" x14ac:dyDescent="0.35">
      <c r="E1974" s="96" t="str">
        <f t="shared" si="42"/>
        <v xml:space="preserve"> </v>
      </c>
      <c r="F1974" s="96" t="str">
        <f t="shared" si="42"/>
        <v xml:space="preserve"> </v>
      </c>
    </row>
    <row r="1975" spans="5:6" hidden="1" x14ac:dyDescent="0.35">
      <c r="E1975" s="96" t="str">
        <f t="shared" si="42"/>
        <v xml:space="preserve"> </v>
      </c>
      <c r="F1975" s="96" t="str">
        <f t="shared" si="42"/>
        <v xml:space="preserve"> </v>
      </c>
    </row>
    <row r="1976" spans="5:6" hidden="1" x14ac:dyDescent="0.35">
      <c r="E1976" s="96" t="str">
        <f t="shared" si="42"/>
        <v xml:space="preserve"> </v>
      </c>
      <c r="F1976" s="96" t="str">
        <f t="shared" si="42"/>
        <v xml:space="preserve"> </v>
      </c>
    </row>
    <row r="1977" spans="5:6" hidden="1" x14ac:dyDescent="0.35">
      <c r="E1977" s="96" t="str">
        <f t="shared" si="42"/>
        <v xml:space="preserve"> </v>
      </c>
      <c r="F1977" s="96" t="str">
        <f t="shared" si="42"/>
        <v xml:space="preserve"> </v>
      </c>
    </row>
    <row r="1978" spans="5:6" hidden="1" x14ac:dyDescent="0.35">
      <c r="E1978" s="96" t="str">
        <f t="shared" si="42"/>
        <v xml:space="preserve"> </v>
      </c>
      <c r="F1978" s="96" t="str">
        <f t="shared" si="42"/>
        <v xml:space="preserve"> </v>
      </c>
    </row>
    <row r="1979" spans="5:6" hidden="1" x14ac:dyDescent="0.35">
      <c r="E1979" s="96" t="str">
        <f t="shared" si="42"/>
        <v xml:space="preserve"> </v>
      </c>
      <c r="F1979" s="96" t="str">
        <f t="shared" si="42"/>
        <v xml:space="preserve"> </v>
      </c>
    </row>
    <row r="1980" spans="5:6" hidden="1" x14ac:dyDescent="0.35">
      <c r="E1980" s="96" t="str">
        <f t="shared" si="42"/>
        <v xml:space="preserve"> </v>
      </c>
      <c r="F1980" s="96" t="str">
        <f t="shared" si="42"/>
        <v xml:space="preserve"> </v>
      </c>
    </row>
    <row r="1981" spans="5:6" hidden="1" x14ac:dyDescent="0.35">
      <c r="E1981" s="96" t="str">
        <f t="shared" si="42"/>
        <v xml:space="preserve"> </v>
      </c>
      <c r="F1981" s="96" t="str">
        <f t="shared" si="42"/>
        <v xml:space="preserve"> </v>
      </c>
    </row>
    <row r="1982" spans="5:6" hidden="1" x14ac:dyDescent="0.35">
      <c r="E1982" s="96" t="str">
        <f t="shared" si="42"/>
        <v xml:space="preserve"> </v>
      </c>
      <c r="F1982" s="96" t="str">
        <f t="shared" si="42"/>
        <v xml:space="preserve"> </v>
      </c>
    </row>
    <row r="1983" spans="5:6" hidden="1" x14ac:dyDescent="0.35">
      <c r="E1983" s="96" t="str">
        <f t="shared" si="42"/>
        <v xml:space="preserve"> </v>
      </c>
      <c r="F1983" s="96" t="str">
        <f t="shared" si="42"/>
        <v xml:space="preserve"> </v>
      </c>
    </row>
    <row r="1984" spans="5:6" hidden="1" x14ac:dyDescent="0.35">
      <c r="E1984" s="96" t="str">
        <f t="shared" si="42"/>
        <v xml:space="preserve"> </v>
      </c>
      <c r="F1984" s="96" t="str">
        <f t="shared" si="42"/>
        <v xml:space="preserve"> </v>
      </c>
    </row>
    <row r="1985" spans="5:6" hidden="1" x14ac:dyDescent="0.35">
      <c r="E1985" s="96" t="str">
        <f t="shared" si="42"/>
        <v xml:space="preserve"> </v>
      </c>
      <c r="F1985" s="96" t="str">
        <f t="shared" si="42"/>
        <v xml:space="preserve"> </v>
      </c>
    </row>
    <row r="1986" spans="5:6" hidden="1" x14ac:dyDescent="0.35">
      <c r="E1986" s="96" t="str">
        <f t="shared" si="42"/>
        <v xml:space="preserve"> </v>
      </c>
      <c r="F1986" s="96" t="str">
        <f t="shared" si="42"/>
        <v xml:space="preserve"> </v>
      </c>
    </row>
    <row r="1987" spans="5:6" hidden="1" x14ac:dyDescent="0.35">
      <c r="E1987" s="96" t="str">
        <f t="shared" si="42"/>
        <v xml:space="preserve"> </v>
      </c>
      <c r="F1987" s="96" t="str">
        <f t="shared" si="42"/>
        <v xml:space="preserve"> </v>
      </c>
    </row>
    <row r="1988" spans="5:6" hidden="1" x14ac:dyDescent="0.35">
      <c r="E1988" s="96" t="str">
        <f t="shared" si="42"/>
        <v xml:space="preserve"> </v>
      </c>
      <c r="F1988" s="96" t="str">
        <f t="shared" si="42"/>
        <v xml:space="preserve"> </v>
      </c>
    </row>
    <row r="1989" spans="5:6" hidden="1" x14ac:dyDescent="0.35">
      <c r="E1989" s="96" t="str">
        <f t="shared" si="42"/>
        <v xml:space="preserve"> </v>
      </c>
      <c r="F1989" s="96" t="str">
        <f t="shared" si="42"/>
        <v xml:space="preserve"> </v>
      </c>
    </row>
    <row r="1990" spans="5:6" hidden="1" x14ac:dyDescent="0.35">
      <c r="E1990" s="96" t="str">
        <f t="shared" si="42"/>
        <v xml:space="preserve"> </v>
      </c>
      <c r="F1990" s="96" t="str">
        <f t="shared" si="42"/>
        <v xml:space="preserve"> </v>
      </c>
    </row>
    <row r="1991" spans="5:6" hidden="1" x14ac:dyDescent="0.35">
      <c r="E1991" s="96" t="str">
        <f t="shared" si="42"/>
        <v xml:space="preserve"> </v>
      </c>
      <c r="F1991" s="96" t="str">
        <f t="shared" si="42"/>
        <v xml:space="preserve"> </v>
      </c>
    </row>
    <row r="1992" spans="5:6" hidden="1" x14ac:dyDescent="0.35">
      <c r="E1992" s="96" t="str">
        <f t="shared" si="42"/>
        <v xml:space="preserve"> </v>
      </c>
      <c r="F1992" s="96" t="str">
        <f t="shared" si="42"/>
        <v xml:space="preserve"> </v>
      </c>
    </row>
    <row r="1993" spans="5:6" hidden="1" x14ac:dyDescent="0.35">
      <c r="E1993" s="96" t="str">
        <f t="shared" si="42"/>
        <v xml:space="preserve"> </v>
      </c>
      <c r="F1993" s="96" t="str">
        <f t="shared" si="42"/>
        <v xml:space="preserve"> </v>
      </c>
    </row>
    <row r="1994" spans="5:6" hidden="1" x14ac:dyDescent="0.35">
      <c r="E1994" s="96" t="str">
        <f t="shared" si="42"/>
        <v xml:space="preserve"> </v>
      </c>
      <c r="F1994" s="96" t="str">
        <f t="shared" si="42"/>
        <v xml:space="preserve"> </v>
      </c>
    </row>
    <row r="1995" spans="5:6" hidden="1" x14ac:dyDescent="0.35">
      <c r="E1995" s="96" t="str">
        <f t="shared" si="42"/>
        <v xml:space="preserve"> </v>
      </c>
      <c r="F1995" s="96" t="str">
        <f t="shared" si="42"/>
        <v xml:space="preserve"> </v>
      </c>
    </row>
    <row r="1996" spans="5:6" hidden="1" x14ac:dyDescent="0.35">
      <c r="E1996" s="96" t="str">
        <f t="shared" si="42"/>
        <v xml:space="preserve"> </v>
      </c>
      <c r="F1996" s="96" t="str">
        <f t="shared" si="42"/>
        <v xml:space="preserve"> </v>
      </c>
    </row>
    <row r="1997" spans="5:6" hidden="1" x14ac:dyDescent="0.35">
      <c r="E1997" s="96" t="str">
        <f t="shared" si="42"/>
        <v xml:space="preserve"> </v>
      </c>
      <c r="F1997" s="96" t="str">
        <f t="shared" si="42"/>
        <v xml:space="preserve"> </v>
      </c>
    </row>
    <row r="1998" spans="5:6" hidden="1" x14ac:dyDescent="0.35">
      <c r="E1998" s="96" t="str">
        <f t="shared" si="42"/>
        <v xml:space="preserve"> </v>
      </c>
      <c r="F1998" s="96" t="str">
        <f t="shared" si="42"/>
        <v xml:space="preserve"> </v>
      </c>
    </row>
    <row r="1999" spans="5:6" hidden="1" x14ac:dyDescent="0.35">
      <c r="E1999" s="96" t="str">
        <f t="shared" si="42"/>
        <v xml:space="preserve"> </v>
      </c>
      <c r="F1999" s="96" t="str">
        <f t="shared" si="42"/>
        <v xml:space="preserve"> </v>
      </c>
    </row>
    <row r="2000" spans="5:6" hidden="1" x14ac:dyDescent="0.35">
      <c r="E2000" s="96" t="str">
        <f t="shared" si="42"/>
        <v xml:space="preserve"> </v>
      </c>
      <c r="F2000" s="96" t="str">
        <f t="shared" si="42"/>
        <v xml:space="preserve"> </v>
      </c>
    </row>
    <row r="2001" spans="5:6" hidden="1" x14ac:dyDescent="0.35">
      <c r="E2001" s="96" t="str">
        <f t="shared" si="42"/>
        <v xml:space="preserve"> </v>
      </c>
      <c r="F2001" s="96" t="str">
        <f t="shared" si="42"/>
        <v xml:space="preserve"> </v>
      </c>
    </row>
    <row r="1048561" x14ac:dyDescent="0.35"/>
    <row r="1048575" ht="51" hidden="1" customHeight="1" x14ac:dyDescent="0.35"/>
  </sheetData>
  <sheetProtection algorithmName="SHA-512" hashValue="l350gKBJv33HHgwkMlz/CfvEaR1SGJFWkTexRJp/5UqEnorzN1G3VOV66K0HmuZUR6l4KyFk59UxjMZ7EQtwDQ==" saltValue="CcfwG4YC3pENippIhN2TQA==" spinCount="100000" sheet="1" objects="1" scenarios="1"/>
  <sortState xmlns:xlrd2="http://schemas.microsoft.com/office/spreadsheetml/2017/richdata2" ref="B15:F26">
    <sortCondition ref="B15:B26"/>
  </sortState>
  <mergeCells count="10">
    <mergeCell ref="T29:W29"/>
    <mergeCell ref="A1:X2"/>
    <mergeCell ref="T4:W4"/>
    <mergeCell ref="C6:D6"/>
    <mergeCell ref="C7:D7"/>
    <mergeCell ref="C8:D8"/>
    <mergeCell ref="E13:F13"/>
    <mergeCell ref="C13:D13"/>
    <mergeCell ref="O4:R4"/>
    <mergeCell ref="C9:D9"/>
  </mergeCells>
  <conditionalFormatting sqref="E28:E2001 F27:F2001 B16:B330 D16:D458 B15:F68">
    <cfRule type="notContainsBlanks" dxfId="3" priority="2">
      <formula>LEN(TRIM(B15))&gt;0</formula>
    </cfRule>
    <cfRule type="notContainsBlanks" dxfId="2" priority="5">
      <formula>LEN(TRIM(B15))&gt;0</formula>
    </cfRule>
  </conditionalFormatting>
  <conditionalFormatting sqref="B15:F1048576">
    <cfRule type="notContainsBlanks" dxfId="1" priority="4">
      <formula>LEN(TRIM(B15))&gt;0</formula>
    </cfRule>
  </conditionalFormatting>
  <conditionalFormatting sqref="B15:F2001">
    <cfRule type="notContainsBlanks" dxfId="0" priority="1">
      <formula>LEN(TRIM(B15))&gt;0</formula>
    </cfRule>
  </conditionalFormatting>
  <dataValidations count="2">
    <dataValidation type="list" allowBlank="1" showInputMessage="1" showErrorMessage="1" sqref="C8" xr:uid="{2963C9B4-3D06-FB4B-8860-952A5A6795A4}">
      <formula1>$N$40:$N$51</formula1>
    </dataValidation>
    <dataValidation type="list" allowBlank="1" showInputMessage="1" showErrorMessage="1" sqref="C9" xr:uid="{3D34E01D-DFA3-4A4C-BD24-72A6CF6BB3F6}">
      <formula1>$N$40:$N$70</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Macro3">
                <anchor moveWithCells="1" sizeWithCells="1">
                  <from>
                    <xdr:col>1</xdr:col>
                    <xdr:colOff>889000</xdr:colOff>
                    <xdr:row>9</xdr:row>
                    <xdr:rowOff>69850</xdr:rowOff>
                  </from>
                  <to>
                    <xdr:col>3</xdr:col>
                    <xdr:colOff>514350</xdr:colOff>
                    <xdr:row>11</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B91BA-1C4B-4E1D-BD54-D73A868FD24F}">
  <sheetPr codeName="Sheet4"/>
  <dimension ref="A1:K21"/>
  <sheetViews>
    <sheetView workbookViewId="0">
      <selection activeCell="D22" sqref="D22:D28"/>
    </sheetView>
  </sheetViews>
  <sheetFormatPr defaultColWidth="8.5" defaultRowHeight="14.5" x14ac:dyDescent="0.35"/>
  <cols>
    <col min="1" max="1" width="9.5" style="7" customWidth="1"/>
    <col min="2" max="2" width="8.5" style="7"/>
    <col min="3" max="3" width="10" style="7" customWidth="1"/>
    <col min="4" max="4" width="13" style="7" customWidth="1"/>
    <col min="5" max="5" width="12" style="7" customWidth="1"/>
    <col min="6" max="9" width="8.5" style="7"/>
    <col min="10" max="10" width="9.58203125" style="7" customWidth="1"/>
    <col min="11" max="11" width="11.08203125" style="7" customWidth="1"/>
    <col min="12" max="16384" width="8.5" style="7"/>
  </cols>
  <sheetData>
    <row r="1" spans="1:11" x14ac:dyDescent="0.35">
      <c r="A1" s="9" t="s">
        <v>0</v>
      </c>
      <c r="B1" s="9" t="s">
        <v>1</v>
      </c>
      <c r="C1" s="9" t="s">
        <v>2</v>
      </c>
      <c r="D1" s="9" t="s">
        <v>3</v>
      </c>
      <c r="E1" s="9" t="s">
        <v>4</v>
      </c>
      <c r="J1" s="7" t="s">
        <v>10</v>
      </c>
      <c r="K1" s="7" t="s">
        <v>17</v>
      </c>
    </row>
    <row r="2" spans="1:11" x14ac:dyDescent="0.35">
      <c r="A2" s="13">
        <v>43983</v>
      </c>
      <c r="B2" s="7">
        <v>2142</v>
      </c>
      <c r="C2" s="7">
        <v>178</v>
      </c>
      <c r="H2" s="10">
        <v>0.1</v>
      </c>
      <c r="I2" s="10">
        <f>1-H2</f>
        <v>0.9</v>
      </c>
      <c r="J2" s="14">
        <f>H2*$D$15+$E$15*I2</f>
        <v>7.144910049908669E-2</v>
      </c>
      <c r="K2" s="11">
        <f>((H2*$D$17)^2+(I2*$E$17)^2+($E$17*$D$17*H2*I2*$D$18*2))^(1/2)</f>
        <v>0.13470922709474231</v>
      </c>
    </row>
    <row r="3" spans="1:11" x14ac:dyDescent="0.35">
      <c r="A3" s="13">
        <v>44013</v>
      </c>
      <c r="B3" s="7">
        <v>2186</v>
      </c>
      <c r="C3" s="7">
        <v>191</v>
      </c>
      <c r="D3" s="8">
        <v>2.0541549953314586E-2</v>
      </c>
      <c r="E3" s="8">
        <v>7.3033707865168607E-2</v>
      </c>
      <c r="H3" s="14">
        <f>H2+10%</f>
        <v>0.2</v>
      </c>
      <c r="I3" s="10">
        <f t="shared" ref="I3:I15" si="0">1-H3</f>
        <v>0.8</v>
      </c>
      <c r="J3" s="14">
        <f t="shared" ref="J3:J15" si="1">H3*$D$15+$E$15*I3</f>
        <v>6.9065867110299273E-2</v>
      </c>
      <c r="K3" s="11">
        <f t="shared" ref="K3:K15" si="2">((H3*$D$17)^2+(I3*$E$17)^2+($E$17*$D$17*H3*I3*$D$18*2))^(1/2)</f>
        <v>0.11920460523745688</v>
      </c>
    </row>
    <row r="4" spans="1:11" x14ac:dyDescent="0.35">
      <c r="A4" s="13">
        <v>44044</v>
      </c>
      <c r="B4" s="7">
        <v>2103</v>
      </c>
      <c r="C4" s="7">
        <v>212</v>
      </c>
      <c r="D4" s="8">
        <v>-3.7968892955169253E-2</v>
      </c>
      <c r="E4" s="8">
        <v>0.10994764397905765</v>
      </c>
      <c r="H4" s="14">
        <f t="shared" ref="H4:H14" si="3">H3+10%</f>
        <v>0.30000000000000004</v>
      </c>
      <c r="I4" s="10">
        <f t="shared" si="0"/>
        <v>0.7</v>
      </c>
      <c r="J4" s="14">
        <f t="shared" si="1"/>
        <v>6.6682633721511869E-2</v>
      </c>
      <c r="K4" s="11">
        <f t="shared" si="2"/>
        <v>0.1042868805756582</v>
      </c>
    </row>
    <row r="5" spans="1:11" x14ac:dyDescent="0.35">
      <c r="A5" s="13">
        <v>44075</v>
      </c>
      <c r="B5" s="7">
        <v>2054</v>
      </c>
      <c r="C5" s="7">
        <v>185</v>
      </c>
      <c r="D5" s="8">
        <v>-2.3300047551117475E-2</v>
      </c>
      <c r="E5" s="8">
        <v>-0.12735849056603776</v>
      </c>
      <c r="H5" s="14">
        <f t="shared" si="3"/>
        <v>0.4</v>
      </c>
      <c r="I5" s="10">
        <f t="shared" si="0"/>
        <v>0.6</v>
      </c>
      <c r="J5" s="14">
        <f t="shared" si="1"/>
        <v>6.4299400332724466E-2</v>
      </c>
      <c r="K5" s="11">
        <f t="shared" si="2"/>
        <v>9.0247562380453561E-2</v>
      </c>
    </row>
    <row r="6" spans="1:11" x14ac:dyDescent="0.35">
      <c r="A6" s="13">
        <v>44105</v>
      </c>
      <c r="B6" s="7">
        <v>2057</v>
      </c>
      <c r="C6" s="7">
        <v>189</v>
      </c>
      <c r="D6" s="8">
        <v>1.4605647517040854E-3</v>
      </c>
      <c r="E6" s="8">
        <v>2.1621621621621623E-2</v>
      </c>
      <c r="H6" s="14">
        <f t="shared" si="3"/>
        <v>0.5</v>
      </c>
      <c r="I6" s="10">
        <f t="shared" si="0"/>
        <v>0.5</v>
      </c>
      <c r="J6" s="14">
        <f t="shared" si="1"/>
        <v>6.1916166943937048E-2</v>
      </c>
      <c r="K6" s="11">
        <f t="shared" si="2"/>
        <v>7.7565102179103076E-2</v>
      </c>
    </row>
    <row r="7" spans="1:11" x14ac:dyDescent="0.35">
      <c r="A7" s="13">
        <v>44136</v>
      </c>
      <c r="B7" s="7">
        <v>2138</v>
      </c>
      <c r="C7" s="7">
        <v>244</v>
      </c>
      <c r="D7" s="8">
        <v>3.9377734564900235E-2</v>
      </c>
      <c r="E7" s="8">
        <v>0.29100529100529093</v>
      </c>
      <c r="H7" s="14">
        <f t="shared" si="3"/>
        <v>0.6</v>
      </c>
      <c r="I7" s="10">
        <f t="shared" si="0"/>
        <v>0.4</v>
      </c>
      <c r="J7" s="14">
        <f t="shared" si="1"/>
        <v>5.9532933555149638E-2</v>
      </c>
      <c r="K7" s="11">
        <f t="shared" si="2"/>
        <v>6.701433534344825E-2</v>
      </c>
    </row>
    <row r="8" spans="1:11" x14ac:dyDescent="0.35">
      <c r="A8" s="13">
        <v>44166</v>
      </c>
      <c r="B8" s="7">
        <v>2395</v>
      </c>
      <c r="C8" s="7">
        <v>274</v>
      </c>
      <c r="D8" s="8">
        <v>0.12020579981290935</v>
      </c>
      <c r="E8" s="8">
        <v>0.12295081967213117</v>
      </c>
      <c r="H8" s="14">
        <f t="shared" si="3"/>
        <v>0.7</v>
      </c>
      <c r="I8" s="10">
        <f t="shared" si="0"/>
        <v>0.30000000000000004</v>
      </c>
      <c r="J8" s="14">
        <f t="shared" si="1"/>
        <v>5.7149700166362227E-2</v>
      </c>
      <c r="K8" s="11">
        <f t="shared" si="2"/>
        <v>5.9735673696897085E-2</v>
      </c>
    </row>
    <row r="9" spans="1:11" x14ac:dyDescent="0.35">
      <c r="A9" s="13">
        <v>44197</v>
      </c>
      <c r="B9" s="7">
        <v>2263</v>
      </c>
      <c r="C9" s="7">
        <v>282</v>
      </c>
      <c r="D9" s="8">
        <v>-5.5114822546972864E-2</v>
      </c>
      <c r="E9" s="8">
        <v>2.9197080291970767E-2</v>
      </c>
      <c r="H9" s="14">
        <f t="shared" si="3"/>
        <v>0.79999999999999993</v>
      </c>
      <c r="I9" s="10">
        <f t="shared" si="0"/>
        <v>0.20000000000000007</v>
      </c>
      <c r="J9" s="14">
        <f t="shared" si="1"/>
        <v>5.4766466777574824E-2</v>
      </c>
      <c r="K9" s="11">
        <f t="shared" si="2"/>
        <v>5.6996787519550389E-2</v>
      </c>
    </row>
    <row r="10" spans="1:11" x14ac:dyDescent="0.35">
      <c r="A10" s="13">
        <v>44228</v>
      </c>
      <c r="B10" s="7">
        <v>2132</v>
      </c>
      <c r="C10" s="7">
        <v>390</v>
      </c>
      <c r="D10" s="8">
        <v>-5.7887759611135681E-2</v>
      </c>
      <c r="E10" s="8">
        <v>0.38297872340425543</v>
      </c>
      <c r="H10" s="14">
        <f t="shared" si="3"/>
        <v>0.89999999999999991</v>
      </c>
      <c r="I10" s="10">
        <f t="shared" si="0"/>
        <v>0.10000000000000009</v>
      </c>
      <c r="J10" s="14">
        <f t="shared" si="1"/>
        <v>5.2383233388787413E-2</v>
      </c>
      <c r="K10" s="11">
        <f t="shared" si="2"/>
        <v>5.9428699868867889E-2</v>
      </c>
    </row>
    <row r="11" spans="1:11" x14ac:dyDescent="0.35">
      <c r="A11" s="13">
        <v>44256</v>
      </c>
      <c r="B11" s="7">
        <v>2431</v>
      </c>
      <c r="C11" s="7">
        <v>364</v>
      </c>
      <c r="D11" s="8">
        <v>0.14024390243902429</v>
      </c>
      <c r="E11" s="8">
        <v>-6.6666666666666652E-2</v>
      </c>
      <c r="H11" s="14">
        <f t="shared" si="3"/>
        <v>0.99999999999999989</v>
      </c>
      <c r="I11" s="10">
        <f t="shared" si="0"/>
        <v>0</v>
      </c>
      <c r="J11" s="14">
        <f t="shared" si="1"/>
        <v>4.9999999999999996E-2</v>
      </c>
      <c r="K11" s="11">
        <f t="shared" si="2"/>
        <v>6.6466235440919688E-2</v>
      </c>
    </row>
    <row r="12" spans="1:11" x14ac:dyDescent="0.35">
      <c r="A12" s="13">
        <v>44287</v>
      </c>
      <c r="B12" s="7">
        <v>2353</v>
      </c>
      <c r="C12" s="7">
        <v>353</v>
      </c>
      <c r="D12" s="8">
        <v>-3.208556149732622E-2</v>
      </c>
      <c r="E12" s="8">
        <v>-3.0219780219780223E-2</v>
      </c>
      <c r="H12" s="14">
        <f t="shared" si="3"/>
        <v>1.0999999999999999</v>
      </c>
      <c r="I12" s="10">
        <f t="shared" si="0"/>
        <v>-9.9999999999999867E-2</v>
      </c>
      <c r="J12" s="14">
        <f t="shared" si="1"/>
        <v>4.7616766611212592E-2</v>
      </c>
      <c r="K12" s="11">
        <f t="shared" si="2"/>
        <v>7.6854434122568024E-2</v>
      </c>
    </row>
    <row r="13" spans="1:11" x14ac:dyDescent="0.35">
      <c r="A13" s="13">
        <v>44317</v>
      </c>
      <c r="B13" s="7">
        <v>2390</v>
      </c>
      <c r="C13" s="7">
        <v>355</v>
      </c>
      <c r="D13" s="8">
        <v>1.5724606884827796E-2</v>
      </c>
      <c r="E13" s="8">
        <v>5.6657223796034994E-3</v>
      </c>
      <c r="H13" s="14">
        <f t="shared" si="3"/>
        <v>1.2</v>
      </c>
      <c r="I13" s="10">
        <f t="shared" si="0"/>
        <v>-0.19999999999999996</v>
      </c>
      <c r="J13" s="14">
        <f t="shared" si="1"/>
        <v>4.5233533222425182E-2</v>
      </c>
      <c r="K13" s="11">
        <f t="shared" si="2"/>
        <v>8.9433221679312891E-2</v>
      </c>
    </row>
    <row r="14" spans="1:11" x14ac:dyDescent="0.35">
      <c r="H14" s="14">
        <f t="shared" si="3"/>
        <v>1.3</v>
      </c>
      <c r="I14" s="10">
        <f t="shared" si="0"/>
        <v>-0.30000000000000004</v>
      </c>
      <c r="J14" s="14">
        <f t="shared" si="1"/>
        <v>4.2850299833637771E-2</v>
      </c>
      <c r="K14" s="11">
        <f t="shared" si="2"/>
        <v>0.1034062461392477</v>
      </c>
    </row>
    <row r="15" spans="1:11" x14ac:dyDescent="0.35">
      <c r="C15" t="s">
        <v>5</v>
      </c>
      <c r="D15" s="12">
        <v>0.05</v>
      </c>
      <c r="E15" s="12">
        <f>AVERAGE(E3:E13)</f>
        <v>7.3832333887874094E-2</v>
      </c>
      <c r="H15" s="15">
        <v>0.6282491388967899</v>
      </c>
      <c r="I15" s="16">
        <f t="shared" si="0"/>
        <v>0.3717508611032101</v>
      </c>
      <c r="J15" s="17">
        <f t="shared" si="1"/>
        <v>5.8859690644916411E-2</v>
      </c>
      <c r="K15" s="18">
        <f t="shared" si="2"/>
        <v>6.4569394838130068E-2</v>
      </c>
    </row>
    <row r="16" spans="1:11" x14ac:dyDescent="0.35">
      <c r="C16" t="s">
        <v>7</v>
      </c>
      <c r="D16" s="7">
        <f>_xlfn.VAR.S(D3:D13)</f>
        <v>4.4177604536877694E-3</v>
      </c>
      <c r="E16" s="7">
        <f>_xlfn.VAR.S(E3:E13)</f>
        <v>2.268626732413636E-2</v>
      </c>
    </row>
    <row r="17" spans="3:11" x14ac:dyDescent="0.35">
      <c r="C17" t="s">
        <v>8</v>
      </c>
      <c r="D17" s="7">
        <f>SQRT(D16)</f>
        <v>6.6466235440919702E-2</v>
      </c>
      <c r="E17" s="7">
        <f>SQRT(E16)</f>
        <v>0.15061961135302521</v>
      </c>
      <c r="J17" s="7" t="s">
        <v>18</v>
      </c>
      <c r="K17" s="10">
        <v>0.04</v>
      </c>
    </row>
    <row r="18" spans="3:11" x14ac:dyDescent="0.35">
      <c r="C18" t="s">
        <v>6</v>
      </c>
      <c r="D18" s="7">
        <f>CORREL(D3:D13,E3:E13)</f>
        <v>-0.1517636345212186</v>
      </c>
      <c r="J18" s="7" t="s">
        <v>12</v>
      </c>
      <c r="K18" s="14">
        <f>(J15-K17)/K15</f>
        <v>0.29208405456170122</v>
      </c>
    </row>
    <row r="19" spans="3:11" x14ac:dyDescent="0.35">
      <c r="C19" t="s">
        <v>9</v>
      </c>
      <c r="D19" s="10">
        <v>0.5</v>
      </c>
      <c r="E19" s="10">
        <v>0.5</v>
      </c>
    </row>
    <row r="20" spans="3:11" x14ac:dyDescent="0.35">
      <c r="C20" t="s">
        <v>16</v>
      </c>
      <c r="D20" s="12">
        <f>D19*D15+E19*E15</f>
        <v>6.1916166943937048E-2</v>
      </c>
    </row>
    <row r="21" spans="3:11" x14ac:dyDescent="0.35">
      <c r="C21" t="s">
        <v>11</v>
      </c>
      <c r="D21" s="7">
        <f>((D17*D19)^2+(E17*E19)^2+D17*D19*E17*E19*2*D18)^(1/2)</f>
        <v>7.7565102179103076E-2</v>
      </c>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9C65A-60CD-4E31-BF33-56CAD58F6943}">
  <sheetPr codeName="Sheet5"/>
  <dimension ref="A1:T33"/>
  <sheetViews>
    <sheetView topLeftCell="F15" zoomScale="79" zoomScaleNormal="77" workbookViewId="0">
      <selection sqref="A1:T2"/>
    </sheetView>
  </sheetViews>
  <sheetFormatPr defaultColWidth="9" defaultRowHeight="14.5" x14ac:dyDescent="0.35"/>
  <cols>
    <col min="1" max="1" width="17.83203125" style="41" customWidth="1"/>
    <col min="2" max="3" width="10.5" style="41" customWidth="1"/>
    <col min="4" max="4" width="14.5" style="41" customWidth="1"/>
    <col min="5" max="5" width="17.5" style="41" customWidth="1"/>
    <col min="6" max="6" width="14.58203125" style="41" customWidth="1"/>
    <col min="7" max="11" width="10.5" style="41" customWidth="1"/>
    <col min="12" max="14" width="9" style="41"/>
    <col min="15" max="19" width="17" style="41" customWidth="1"/>
    <col min="20" max="16384" width="9" style="41"/>
  </cols>
  <sheetData>
    <row r="1" spans="1:20" ht="14.5" customHeight="1" x14ac:dyDescent="0.35">
      <c r="A1" s="165" t="s">
        <v>39</v>
      </c>
      <c r="B1" s="166"/>
      <c r="C1" s="166"/>
      <c r="D1" s="166"/>
      <c r="E1" s="166"/>
      <c r="F1" s="166"/>
      <c r="G1" s="166"/>
      <c r="H1" s="166"/>
      <c r="I1" s="166"/>
      <c r="J1" s="166"/>
      <c r="K1" s="166"/>
      <c r="L1" s="166"/>
      <c r="M1" s="166"/>
      <c r="N1" s="166"/>
      <c r="O1" s="166"/>
      <c r="P1" s="166"/>
      <c r="Q1" s="166"/>
      <c r="R1" s="166"/>
      <c r="S1" s="166"/>
      <c r="T1" s="166"/>
    </row>
    <row r="2" spans="1:20" s="42" customFormat="1" ht="15" customHeight="1" x14ac:dyDescent="0.35">
      <c r="A2" s="165"/>
      <c r="B2" s="166"/>
      <c r="C2" s="166"/>
      <c r="D2" s="166"/>
      <c r="E2" s="166"/>
      <c r="F2" s="166"/>
      <c r="G2" s="166"/>
      <c r="H2" s="166"/>
      <c r="I2" s="166"/>
      <c r="J2" s="166"/>
      <c r="K2" s="166"/>
      <c r="L2" s="166"/>
      <c r="M2" s="166"/>
      <c r="N2" s="166"/>
      <c r="O2" s="166"/>
      <c r="P2" s="166"/>
      <c r="Q2" s="166"/>
      <c r="R2" s="166"/>
      <c r="S2" s="166"/>
      <c r="T2" s="166"/>
    </row>
    <row r="3" spans="1:20" s="42" customFormat="1" ht="15" thickBot="1" x14ac:dyDescent="0.4"/>
    <row r="4" spans="1:20" ht="15" thickBot="1" x14ac:dyDescent="0.4">
      <c r="A4" s="43"/>
      <c r="B4" s="160" t="s">
        <v>23</v>
      </c>
      <c r="C4" s="160"/>
      <c r="D4" s="160"/>
      <c r="E4" s="160"/>
      <c r="F4" s="160"/>
      <c r="G4" s="160" t="s">
        <v>22</v>
      </c>
      <c r="H4" s="160"/>
      <c r="I4" s="160"/>
      <c r="J4" s="160"/>
      <c r="K4" s="161"/>
      <c r="M4" s="162" t="s">
        <v>26</v>
      </c>
      <c r="N4" s="163"/>
      <c r="O4" s="163"/>
      <c r="P4" s="163"/>
      <c r="Q4" s="163"/>
      <c r="R4" s="164"/>
    </row>
    <row r="5" spans="1:20" x14ac:dyDescent="0.35">
      <c r="A5" s="44" t="s">
        <v>0</v>
      </c>
      <c r="B5" s="45" t="s">
        <v>1</v>
      </c>
      <c r="C5" s="45" t="s">
        <v>2</v>
      </c>
      <c r="D5" s="45" t="s">
        <v>19</v>
      </c>
      <c r="E5" s="45" t="s">
        <v>20</v>
      </c>
      <c r="F5" s="45" t="s">
        <v>21</v>
      </c>
      <c r="G5" s="45" t="s">
        <v>1</v>
      </c>
      <c r="H5" s="45" t="s">
        <v>2</v>
      </c>
      <c r="I5" s="45" t="s">
        <v>19</v>
      </c>
      <c r="J5" s="45" t="s">
        <v>20</v>
      </c>
      <c r="K5" s="46" t="s">
        <v>21</v>
      </c>
      <c r="M5" s="47"/>
      <c r="N5" s="48" t="s">
        <v>1</v>
      </c>
      <c r="O5" s="48" t="s">
        <v>2</v>
      </c>
      <c r="P5" s="48" t="s">
        <v>19</v>
      </c>
      <c r="Q5" s="48" t="s">
        <v>20</v>
      </c>
      <c r="R5" s="49" t="s">
        <v>21</v>
      </c>
    </row>
    <row r="6" spans="1:20" x14ac:dyDescent="0.35">
      <c r="A6" s="50">
        <v>43983</v>
      </c>
      <c r="B6" s="51">
        <v>2142</v>
      </c>
      <c r="C6" s="51">
        <v>178</v>
      </c>
      <c r="D6" s="52">
        <v>474.65</v>
      </c>
      <c r="E6" s="52">
        <v>475.05</v>
      </c>
      <c r="F6" s="52">
        <v>161.5</v>
      </c>
      <c r="G6" s="53"/>
      <c r="H6" s="53"/>
      <c r="I6" s="53"/>
      <c r="J6" s="53"/>
      <c r="K6" s="54"/>
      <c r="M6" s="55" t="s">
        <v>1</v>
      </c>
      <c r="N6" s="56">
        <v>4.0161458669888822E-3</v>
      </c>
      <c r="O6" s="56">
        <v>-1.3812033970933288E-3</v>
      </c>
      <c r="P6" s="56">
        <v>-1.2360274885430908E-3</v>
      </c>
      <c r="Q6" s="56">
        <v>-1.2481362715951579E-4</v>
      </c>
      <c r="R6" s="57">
        <v>-1.0972753554563815E-3</v>
      </c>
    </row>
    <row r="7" spans="1:20" x14ac:dyDescent="0.35">
      <c r="A7" s="50">
        <v>44013</v>
      </c>
      <c r="B7" s="51">
        <v>2186</v>
      </c>
      <c r="C7" s="51">
        <v>191</v>
      </c>
      <c r="D7" s="52">
        <v>523.6</v>
      </c>
      <c r="E7" s="52">
        <v>643.15</v>
      </c>
      <c r="F7" s="52">
        <v>184.85</v>
      </c>
      <c r="G7" s="58">
        <f>(B7-B6)/B6</f>
        <v>2.0541549953314659E-2</v>
      </c>
      <c r="H7" s="58">
        <f t="shared" ref="H7:K17" si="0">(C7-C6)/C6</f>
        <v>7.3033707865168537E-2</v>
      </c>
      <c r="I7" s="58">
        <f t="shared" si="0"/>
        <v>0.10312862108922374</v>
      </c>
      <c r="J7" s="58">
        <f t="shared" si="0"/>
        <v>0.35385748868540146</v>
      </c>
      <c r="K7" s="59">
        <f t="shared" si="0"/>
        <v>0.14458204334365321</v>
      </c>
      <c r="M7" s="55" t="s">
        <v>2</v>
      </c>
      <c r="N7" s="56">
        <v>-1.3812033970933288E-3</v>
      </c>
      <c r="O7" s="56">
        <v>2.0623879385578511E-2</v>
      </c>
      <c r="P7" s="56">
        <v>2.1163392498303211E-2</v>
      </c>
      <c r="Q7" s="56">
        <v>8.3290339969423217E-3</v>
      </c>
      <c r="R7" s="57">
        <v>1.2756535540246096E-2</v>
      </c>
    </row>
    <row r="8" spans="1:20" x14ac:dyDescent="0.35">
      <c r="A8" s="50">
        <v>44044</v>
      </c>
      <c r="B8" s="51">
        <v>2103</v>
      </c>
      <c r="C8" s="51">
        <v>212</v>
      </c>
      <c r="D8" s="52">
        <v>630.04999999999995</v>
      </c>
      <c r="E8" s="52">
        <v>683.45</v>
      </c>
      <c r="F8" s="52">
        <v>205.1</v>
      </c>
      <c r="G8" s="58">
        <f t="shared" ref="G8:G17" si="1">(B8-B7)/B7</f>
        <v>-3.796889295516926E-2</v>
      </c>
      <c r="H8" s="58">
        <f t="shared" si="0"/>
        <v>0.1099476439790576</v>
      </c>
      <c r="I8" s="58">
        <f t="shared" si="0"/>
        <v>0.20330404889228404</v>
      </c>
      <c r="J8" s="58">
        <f t="shared" si="0"/>
        <v>6.2660343621239317E-2</v>
      </c>
      <c r="K8" s="59">
        <f t="shared" si="0"/>
        <v>0.10954828239112795</v>
      </c>
      <c r="M8" s="55" t="s">
        <v>19</v>
      </c>
      <c r="N8" s="56">
        <v>-1.2360274885430908E-3</v>
      </c>
      <c r="O8" s="56">
        <v>2.1163392498303211E-2</v>
      </c>
      <c r="P8" s="56">
        <v>2.9047714335992944E-2</v>
      </c>
      <c r="Q8" s="56">
        <v>3.8032635131107998E-3</v>
      </c>
      <c r="R8" s="57">
        <v>1.4626875327417436E-2</v>
      </c>
    </row>
    <row r="9" spans="1:20" x14ac:dyDescent="0.35">
      <c r="A9" s="50">
        <v>44075</v>
      </c>
      <c r="B9" s="51">
        <v>2054</v>
      </c>
      <c r="C9" s="51">
        <v>185</v>
      </c>
      <c r="D9" s="52">
        <v>526.75</v>
      </c>
      <c r="E9" s="52">
        <v>821.2</v>
      </c>
      <c r="F9" s="52">
        <v>186.85</v>
      </c>
      <c r="G9" s="58">
        <f t="shared" si="1"/>
        <v>-2.3300047551117451E-2</v>
      </c>
      <c r="H9" s="58">
        <f t="shared" si="0"/>
        <v>-0.12735849056603774</v>
      </c>
      <c r="I9" s="58">
        <f t="shared" si="0"/>
        <v>-0.16395524164748823</v>
      </c>
      <c r="J9" s="58">
        <f t="shared" si="0"/>
        <v>0.20155095471504864</v>
      </c>
      <c r="K9" s="59">
        <f t="shared" si="0"/>
        <v>-8.8980984885421749E-2</v>
      </c>
      <c r="M9" s="55" t="s">
        <v>20</v>
      </c>
      <c r="N9" s="56">
        <v>-1.2481362715951579E-4</v>
      </c>
      <c r="O9" s="56">
        <v>8.3290339969423217E-3</v>
      </c>
      <c r="P9" s="56">
        <v>3.8032635131107998E-3</v>
      </c>
      <c r="Q9" s="56">
        <v>2.1397950120051853E-2</v>
      </c>
      <c r="R9" s="57">
        <v>8.4099917688254828E-3</v>
      </c>
    </row>
    <row r="10" spans="1:20" ht="15" thickBot="1" x14ac:dyDescent="0.4">
      <c r="A10" s="50">
        <v>44105</v>
      </c>
      <c r="B10" s="51">
        <v>2057</v>
      </c>
      <c r="C10" s="51">
        <v>189</v>
      </c>
      <c r="D10" s="52">
        <v>585.6</v>
      </c>
      <c r="E10" s="52">
        <v>742.25</v>
      </c>
      <c r="F10" s="52">
        <v>191.5</v>
      </c>
      <c r="G10" s="58">
        <f t="shared" si="1"/>
        <v>1.4605647517039922E-3</v>
      </c>
      <c r="H10" s="58">
        <f t="shared" si="0"/>
        <v>2.1621621621621623E-2</v>
      </c>
      <c r="I10" s="58">
        <f t="shared" si="0"/>
        <v>0.1117228286663503</v>
      </c>
      <c r="J10" s="58">
        <f t="shared" si="0"/>
        <v>-9.6139795421334676E-2</v>
      </c>
      <c r="K10" s="59">
        <f t="shared" si="0"/>
        <v>2.4886272411024916E-2</v>
      </c>
      <c r="M10" s="60" t="s">
        <v>21</v>
      </c>
      <c r="N10" s="61">
        <v>-1.0972753554563815E-3</v>
      </c>
      <c r="O10" s="61">
        <v>1.2756535540246096E-2</v>
      </c>
      <c r="P10" s="61">
        <v>1.4626875327417436E-2</v>
      </c>
      <c r="Q10" s="61">
        <v>8.4099917688254828E-3</v>
      </c>
      <c r="R10" s="62">
        <v>1.566500275397497E-2</v>
      </c>
    </row>
    <row r="11" spans="1:20" ht="15" thickBot="1" x14ac:dyDescent="0.4">
      <c r="A11" s="50">
        <v>44136</v>
      </c>
      <c r="B11" s="51">
        <v>2138</v>
      </c>
      <c r="C11" s="51">
        <v>244</v>
      </c>
      <c r="D11" s="52">
        <v>857.65</v>
      </c>
      <c r="E11" s="52">
        <v>865.1</v>
      </c>
      <c r="F11" s="52">
        <v>244</v>
      </c>
      <c r="G11" s="58">
        <f t="shared" si="1"/>
        <v>3.9377734564900339E-2</v>
      </c>
      <c r="H11" s="58">
        <f t="shared" si="0"/>
        <v>0.29100529100529099</v>
      </c>
      <c r="I11" s="58">
        <f t="shared" si="0"/>
        <v>0.46456625683060099</v>
      </c>
      <c r="J11" s="58">
        <f t="shared" si="0"/>
        <v>0.16551027281913105</v>
      </c>
      <c r="K11" s="59">
        <f t="shared" si="0"/>
        <v>0.27415143603133157</v>
      </c>
    </row>
    <row r="12" spans="1:20" x14ac:dyDescent="0.35">
      <c r="A12" s="50">
        <v>44166</v>
      </c>
      <c r="B12" s="51">
        <v>2395</v>
      </c>
      <c r="C12" s="51">
        <v>274</v>
      </c>
      <c r="D12" s="52">
        <v>894.95</v>
      </c>
      <c r="E12" s="52">
        <v>941.85</v>
      </c>
      <c r="F12" s="52">
        <v>266.45</v>
      </c>
      <c r="G12" s="58">
        <f t="shared" si="1"/>
        <v>0.12020579981290926</v>
      </c>
      <c r="H12" s="58">
        <f t="shared" si="0"/>
        <v>0.12295081967213115</v>
      </c>
      <c r="I12" s="58">
        <f t="shared" si="0"/>
        <v>4.3490934530402925E-2</v>
      </c>
      <c r="J12" s="58">
        <f t="shared" si="0"/>
        <v>8.8718067275459486E-2</v>
      </c>
      <c r="K12" s="59">
        <f t="shared" si="0"/>
        <v>9.2008196721311428E-2</v>
      </c>
      <c r="M12" s="63" t="s">
        <v>30</v>
      </c>
      <c r="N12" s="64" t="s">
        <v>31</v>
      </c>
      <c r="O12" s="64" t="s">
        <v>30</v>
      </c>
      <c r="P12" s="64" t="s">
        <v>31</v>
      </c>
      <c r="Q12" s="64" t="s">
        <v>30</v>
      </c>
      <c r="R12" s="64" t="s">
        <v>31</v>
      </c>
      <c r="S12" s="64" t="s">
        <v>30</v>
      </c>
      <c r="T12" s="65" t="s">
        <v>31</v>
      </c>
    </row>
    <row r="13" spans="1:20" ht="15" thickBot="1" x14ac:dyDescent="0.4">
      <c r="A13" s="50">
        <v>44197</v>
      </c>
      <c r="B13" s="51">
        <v>2263</v>
      </c>
      <c r="C13" s="51">
        <v>282</v>
      </c>
      <c r="D13" s="52">
        <v>846.25</v>
      </c>
      <c r="E13" s="52">
        <v>971.55</v>
      </c>
      <c r="F13" s="52">
        <v>261.75</v>
      </c>
      <c r="G13" s="58">
        <f t="shared" si="1"/>
        <v>-5.5114822546972857E-2</v>
      </c>
      <c r="H13" s="58">
        <f t="shared" si="0"/>
        <v>2.9197080291970802E-2</v>
      </c>
      <c r="I13" s="58">
        <f t="shared" si="0"/>
        <v>-5.4416447846248439E-2</v>
      </c>
      <c r="J13" s="58">
        <f t="shared" si="0"/>
        <v>3.1533683707596676E-2</v>
      </c>
      <c r="K13" s="59">
        <f t="shared" si="0"/>
        <v>-1.7639331957215197E-2</v>
      </c>
      <c r="M13" s="66">
        <v>5.0000000000000001E-3</v>
      </c>
      <c r="N13" s="67">
        <v>5.0000000000000001E-3</v>
      </c>
      <c r="O13" s="68">
        <v>0.01</v>
      </c>
      <c r="P13" s="68">
        <v>0.01</v>
      </c>
      <c r="Q13" s="68">
        <v>0.02</v>
      </c>
      <c r="R13" s="68">
        <v>0.02</v>
      </c>
      <c r="S13" s="68">
        <v>0.03</v>
      </c>
      <c r="T13" s="69">
        <v>0.03</v>
      </c>
    </row>
    <row r="14" spans="1:20" x14ac:dyDescent="0.35">
      <c r="A14" s="50">
        <v>44228</v>
      </c>
      <c r="B14" s="51">
        <v>2132</v>
      </c>
      <c r="C14" s="51">
        <v>390</v>
      </c>
      <c r="D14" s="52">
        <v>1063.3</v>
      </c>
      <c r="E14" s="52">
        <v>1368.65</v>
      </c>
      <c r="F14" s="52">
        <v>335.9</v>
      </c>
      <c r="G14" s="58">
        <f t="shared" si="1"/>
        <v>-5.788775961113566E-2</v>
      </c>
      <c r="H14" s="58">
        <f t="shared" si="0"/>
        <v>0.38297872340425532</v>
      </c>
      <c r="I14" s="58">
        <f t="shared" si="0"/>
        <v>0.25648449039881827</v>
      </c>
      <c r="J14" s="58">
        <f t="shared" si="0"/>
        <v>0.40872832072461546</v>
      </c>
      <c r="K14" s="59">
        <f t="shared" si="0"/>
        <v>0.2832855778414517</v>
      </c>
    </row>
    <row r="15" spans="1:20" x14ac:dyDescent="0.35">
      <c r="A15" s="50">
        <v>44256</v>
      </c>
      <c r="B15" s="51">
        <v>2431</v>
      </c>
      <c r="C15" s="51">
        <v>364</v>
      </c>
      <c r="D15" s="52">
        <v>954</v>
      </c>
      <c r="E15" s="52">
        <v>1656.6</v>
      </c>
      <c r="F15" s="52">
        <v>343.6</v>
      </c>
      <c r="G15" s="58">
        <f t="shared" si="1"/>
        <v>0.1402439024390244</v>
      </c>
      <c r="H15" s="58">
        <f t="shared" si="0"/>
        <v>-6.6666666666666666E-2</v>
      </c>
      <c r="I15" s="58">
        <f t="shared" si="0"/>
        <v>-0.1027931910091225</v>
      </c>
      <c r="J15" s="58">
        <f t="shared" si="0"/>
        <v>0.21038980016804867</v>
      </c>
      <c r="K15" s="59">
        <f t="shared" si="0"/>
        <v>2.2923489133670871E-2</v>
      </c>
    </row>
    <row r="16" spans="1:20" x14ac:dyDescent="0.35">
      <c r="A16" s="50">
        <v>44287</v>
      </c>
      <c r="B16" s="51">
        <v>2353</v>
      </c>
      <c r="C16" s="51">
        <v>353</v>
      </c>
      <c r="D16" s="52">
        <v>934.95</v>
      </c>
      <c r="E16" s="52">
        <v>1865.6</v>
      </c>
      <c r="F16" s="52">
        <v>441.5</v>
      </c>
      <c r="G16" s="58">
        <f t="shared" si="1"/>
        <v>-3.2085561497326207E-2</v>
      </c>
      <c r="H16" s="58">
        <f t="shared" si="0"/>
        <v>-3.021978021978022E-2</v>
      </c>
      <c r="I16" s="58">
        <f t="shared" si="0"/>
        <v>-1.9968553459119451E-2</v>
      </c>
      <c r="J16" s="58">
        <f t="shared" si="0"/>
        <v>0.12616201859229748</v>
      </c>
      <c r="K16" s="59">
        <f t="shared" si="0"/>
        <v>0.2849243306169964</v>
      </c>
    </row>
    <row r="17" spans="1:11" ht="15" thickBot="1" x14ac:dyDescent="0.4">
      <c r="A17" s="70">
        <v>44317</v>
      </c>
      <c r="B17" s="71">
        <v>2390</v>
      </c>
      <c r="C17" s="71">
        <v>355</v>
      </c>
      <c r="D17" s="72">
        <v>974.5</v>
      </c>
      <c r="E17" s="72">
        <v>1794.3</v>
      </c>
      <c r="F17" s="72">
        <v>439.4</v>
      </c>
      <c r="G17" s="73">
        <f t="shared" si="1"/>
        <v>1.572460688482788E-2</v>
      </c>
      <c r="H17" s="73">
        <f t="shared" si="0"/>
        <v>5.6657223796033997E-3</v>
      </c>
      <c r="I17" s="73">
        <f t="shared" si="0"/>
        <v>4.2301727365099684E-2</v>
      </c>
      <c r="J17" s="73">
        <f t="shared" si="0"/>
        <v>-3.8218267581475104E-2</v>
      </c>
      <c r="K17" s="74">
        <f t="shared" si="0"/>
        <v>-4.7565118912797797E-3</v>
      </c>
    </row>
    <row r="18" spans="1:11" ht="15" thickBot="1" x14ac:dyDescent="0.4">
      <c r="A18" s="75"/>
      <c r="G18" s="58"/>
      <c r="H18" s="58"/>
      <c r="I18" s="58"/>
      <c r="J18" s="58"/>
      <c r="K18" s="58"/>
    </row>
    <row r="19" spans="1:11" x14ac:dyDescent="0.35">
      <c r="A19" s="76" t="s">
        <v>1</v>
      </c>
      <c r="B19" s="64"/>
      <c r="C19" s="77">
        <v>0.41078139747614301</v>
      </c>
      <c r="D19" s="78">
        <v>0.34709693606243319</v>
      </c>
      <c r="E19" s="78">
        <v>0.73923109777506235</v>
      </c>
      <c r="F19" s="78">
        <v>0.85511792820802501</v>
      </c>
      <c r="G19" s="78">
        <v>0.62932666197097098</v>
      </c>
      <c r="H19" s="78">
        <v>0.4938193166469021</v>
      </c>
      <c r="I19" s="79">
        <v>0.60753720317996041</v>
      </c>
      <c r="J19" s="58"/>
      <c r="K19" s="58"/>
    </row>
    <row r="20" spans="1:11" x14ac:dyDescent="0.35">
      <c r="A20" s="80" t="s">
        <v>2</v>
      </c>
      <c r="B20" s="53"/>
      <c r="C20" s="81">
        <v>0</v>
      </c>
      <c r="D20" s="82">
        <v>0</v>
      </c>
      <c r="E20" s="82">
        <v>7.7496108434030903E-2</v>
      </c>
      <c r="F20" s="82">
        <v>0.12857758358077009</v>
      </c>
      <c r="G20" s="82">
        <v>0</v>
      </c>
      <c r="H20" s="82">
        <v>0</v>
      </c>
      <c r="I20" s="83">
        <v>0.39246279682003959</v>
      </c>
      <c r="J20" s="58"/>
      <c r="K20" s="58"/>
    </row>
    <row r="21" spans="1:11" x14ac:dyDescent="0.35">
      <c r="A21" s="80" t="s">
        <v>19</v>
      </c>
      <c r="B21" s="53"/>
      <c r="C21" s="81">
        <v>2.3305479037352569E-2</v>
      </c>
      <c r="D21" s="82">
        <v>2.7142073183644557E-2</v>
      </c>
      <c r="E21" s="82">
        <v>0</v>
      </c>
      <c r="F21" s="82">
        <v>0</v>
      </c>
      <c r="G21" s="81">
        <v>3.57095590975351E-2</v>
      </c>
      <c r="H21" s="81">
        <v>3.1964532403271885E-2</v>
      </c>
      <c r="I21" s="83">
        <v>0</v>
      </c>
      <c r="J21" s="58"/>
      <c r="K21" s="58"/>
    </row>
    <row r="22" spans="1:11" x14ac:dyDescent="0.35">
      <c r="A22" s="80" t="s">
        <v>20</v>
      </c>
      <c r="B22" s="53"/>
      <c r="C22" s="81">
        <v>0.29783191452054264</v>
      </c>
      <c r="D22" s="84">
        <v>0.34433559614157905</v>
      </c>
      <c r="E22" s="84">
        <v>4.7122038508819609E-2</v>
      </c>
      <c r="F22" s="84">
        <v>0</v>
      </c>
      <c r="G22" s="84">
        <v>0.14341278652378101</v>
      </c>
      <c r="H22" s="84">
        <v>0.23988290580628163</v>
      </c>
      <c r="I22" s="83">
        <v>0</v>
      </c>
      <c r="J22" s="58"/>
      <c r="K22" s="58"/>
    </row>
    <row r="23" spans="1:11" x14ac:dyDescent="0.35">
      <c r="A23" s="80" t="s">
        <v>21</v>
      </c>
      <c r="B23" s="53"/>
      <c r="C23" s="81">
        <v>0.2680812089904398</v>
      </c>
      <c r="D23" s="81">
        <v>0.28142539461234323</v>
      </c>
      <c r="E23" s="84">
        <v>0.13615075528208714</v>
      </c>
      <c r="F23" s="84">
        <v>1.6304488211204927E-2</v>
      </c>
      <c r="G23" s="84">
        <v>0.19155099240771284</v>
      </c>
      <c r="H23" s="84">
        <v>0.23433324514354442</v>
      </c>
      <c r="I23" s="83">
        <v>0</v>
      </c>
      <c r="J23" s="58"/>
      <c r="K23" s="58"/>
    </row>
    <row r="24" spans="1:11" x14ac:dyDescent="0.35">
      <c r="A24" s="80"/>
      <c r="B24" s="53"/>
      <c r="C24" s="81">
        <f t="shared" ref="C24:I24" si="2">SUM(C19:C23)</f>
        <v>1.000000000024478</v>
      </c>
      <c r="D24" s="81">
        <f t="shared" si="2"/>
        <v>1</v>
      </c>
      <c r="E24" s="81">
        <f t="shared" si="2"/>
        <v>1</v>
      </c>
      <c r="F24" s="81">
        <f t="shared" si="2"/>
        <v>1</v>
      </c>
      <c r="G24" s="81">
        <f t="shared" si="2"/>
        <v>1</v>
      </c>
      <c r="H24" s="81">
        <f t="shared" si="2"/>
        <v>1</v>
      </c>
      <c r="I24" s="83">
        <f t="shared" si="2"/>
        <v>1</v>
      </c>
      <c r="J24" s="58"/>
      <c r="K24" s="58"/>
    </row>
    <row r="25" spans="1:11" x14ac:dyDescent="0.35">
      <c r="A25" s="80" t="s">
        <v>27</v>
      </c>
      <c r="B25" s="53"/>
      <c r="C25" s="53">
        <f t="shared" ref="C25:I25" si="3">SUMPRODUCT(C19:C23,$C$28:$C$32)</f>
        <v>7.5200665747136408E-2</v>
      </c>
      <c r="D25" s="53">
        <f t="shared" si="3"/>
        <v>8.2517821764275759E-2</v>
      </c>
      <c r="E25" s="53">
        <f t="shared" si="3"/>
        <v>3.4951141410586702E-2</v>
      </c>
      <c r="F25" s="53">
        <f t="shared" si="3"/>
        <v>2.1359585253007268E-2</v>
      </c>
      <c r="G25" s="53">
        <f t="shared" si="3"/>
        <v>4.9713199074102654E-2</v>
      </c>
      <c r="H25" s="53">
        <f t="shared" si="3"/>
        <v>6.545567944075377E-2</v>
      </c>
      <c r="I25" s="54">
        <f t="shared" si="3"/>
        <v>3.6222544576311147E-2</v>
      </c>
    </row>
    <row r="26" spans="1:11" ht="15" thickBot="1" x14ac:dyDescent="0.4">
      <c r="A26" s="85" t="s">
        <v>28</v>
      </c>
      <c r="B26" s="86"/>
      <c r="C26" s="86">
        <f t="array" ref="C26">MMULT(TRANSPOSE(C19:C23),MMULT($N$6:$R$10,C19:C23))</f>
        <v>5.000004750146168E-3</v>
      </c>
      <c r="D26" s="87">
        <f t="array" ref="D26">MMULT(TRANSPOSE(D19:D23),MMULT($N$6:$R$10,D19:D23))</f>
        <v>5.9400018486889857E-3</v>
      </c>
      <c r="E26" s="86">
        <f t="array" ref="E26">MMULT(TRANSPOSE(E19:E23),MMULT($N$6:$R$10,E19:E23))</f>
        <v>2.7065439291059754E-3</v>
      </c>
      <c r="F26" s="86">
        <f t="array" ref="F26">MMULT(TRANSPOSE(F19:F23),MMULT($N$6:$R$10,F19:F23))</f>
        <v>3.0009998330686048E-3</v>
      </c>
      <c r="G26" s="86">
        <f t="array" ref="G26">MMULT(TRANSPOSE(G19:G23),MMULT($N$6:$R$10,G19:G23))</f>
        <v>3.0009994273465616E-3</v>
      </c>
      <c r="H26" s="86">
        <f t="array" ref="H26">MMULT(TRANSPOSE(H19:H23),MMULT($N$6:$R$10,H19:H23))</f>
        <v>4.0009625558537192E-3</v>
      </c>
      <c r="I26" s="88">
        <f t="array" ref="I26">MMULT(TRANSPOSE(I19:I23),MMULT($N$6:$R$10,I19:I23))</f>
        <v>4.0003439775016586E-3</v>
      </c>
    </row>
    <row r="27" spans="1:11" ht="15" thickBot="1" x14ac:dyDescent="0.4"/>
    <row r="28" spans="1:11" x14ac:dyDescent="0.35">
      <c r="A28" s="76" t="str">
        <f t="array" ref="A28:A32">TRANSPOSE(B5:F5)</f>
        <v>HUL</v>
      </c>
      <c r="B28" s="64"/>
      <c r="C28" s="78">
        <f>AVERAGE(G7:G17)</f>
        <v>1.1927006749541735E-2</v>
      </c>
      <c r="D28" s="89">
        <v>0.34710546983389401</v>
      </c>
      <c r="F28" s="76" t="s">
        <v>27</v>
      </c>
      <c r="G28" s="90">
        <f>SUMPRODUCT(C28:C32,D28:D32)</f>
        <v>8.2514311486828126E-2</v>
      </c>
    </row>
    <row r="29" spans="1:11" ht="15" thickBot="1" x14ac:dyDescent="0.4">
      <c r="A29" s="80" t="str">
        <v>SBI</v>
      </c>
      <c r="B29" s="53"/>
      <c r="C29" s="84">
        <f>AVERAGE(H7:H17)</f>
        <v>7.383233388787408E-2</v>
      </c>
      <c r="D29" s="91">
        <v>0</v>
      </c>
      <c r="F29" s="85" t="s">
        <v>28</v>
      </c>
      <c r="G29" s="92">
        <f t="array" ref="G29">MMULT(TRANSPOSE(D28:D32),MMULT(N6:R10,D28:D32))</f>
        <v>5.9395099772693322E-3</v>
      </c>
    </row>
    <row r="30" spans="1:11" ht="15" thickBot="1" x14ac:dyDescent="0.4">
      <c r="A30" s="80" t="str">
        <v>IndusInd</v>
      </c>
      <c r="B30" s="53"/>
      <c r="C30" s="84">
        <f>AVERAGE(I7:I17)</f>
        <v>8.0351406710072848E-2</v>
      </c>
      <c r="D30" s="91">
        <v>2.7448938949115889E-2</v>
      </c>
    </row>
    <row r="31" spans="1:11" x14ac:dyDescent="0.35">
      <c r="A31" s="80" t="str">
        <v>Deepak Nitrite</v>
      </c>
      <c r="B31" s="53"/>
      <c r="C31" s="84">
        <f>AVERAGE(J7:J17)</f>
        <v>0.13770480793691167</v>
      </c>
      <c r="D31" s="91">
        <v>0.34444806487409424</v>
      </c>
      <c r="F31" s="76" t="s">
        <v>18</v>
      </c>
      <c r="G31" s="93">
        <f>4%/12</f>
        <v>3.3333333333333335E-3</v>
      </c>
    </row>
    <row r="32" spans="1:11" ht="15" thickBot="1" x14ac:dyDescent="0.4">
      <c r="A32" s="80" t="str">
        <v>Jindal Steel</v>
      </c>
      <c r="B32" s="53"/>
      <c r="C32" s="84">
        <f>AVERAGE(K7:K17)</f>
        <v>0.10226661815969558</v>
      </c>
      <c r="D32" s="91">
        <v>0.28099752634289665</v>
      </c>
      <c r="F32" s="85" t="s">
        <v>29</v>
      </c>
      <c r="G32" s="92">
        <f>(G28-G31)/G29</f>
        <v>13.33123076760921</v>
      </c>
    </row>
    <row r="33" spans="1:4" ht="15" thickBot="1" x14ac:dyDescent="0.4">
      <c r="A33" s="85"/>
      <c r="B33" s="86"/>
      <c r="C33" s="86"/>
      <c r="D33" s="94">
        <f>SUM(D28:D32)</f>
        <v>1.0000000000000009</v>
      </c>
    </row>
  </sheetData>
  <mergeCells count="4">
    <mergeCell ref="B4:F4"/>
    <mergeCell ref="G4:K4"/>
    <mergeCell ref="M4:R4"/>
    <mergeCell ref="A1:T2"/>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CE46F-9A79-49FA-8E52-47189D525E06}">
  <sheetPr codeName="Sheet6"/>
  <dimension ref="A1:A101"/>
  <sheetViews>
    <sheetView workbookViewId="0"/>
  </sheetViews>
  <sheetFormatPr defaultColWidth="8.83203125" defaultRowHeight="14.5" x14ac:dyDescent="0.35"/>
  <cols>
    <col min="1" max="1" width="13" customWidth="1"/>
  </cols>
  <sheetData>
    <row r="1" spans="1:1" x14ac:dyDescent="0.35">
      <c r="A1" t="s">
        <v>37</v>
      </c>
    </row>
    <row r="2" spans="1:1" x14ac:dyDescent="0.35">
      <c r="A2">
        <v>2336.5500000000002</v>
      </c>
    </row>
    <row r="3" spans="1:1" x14ac:dyDescent="0.35">
      <c r="A3">
        <v>2362.25</v>
      </c>
    </row>
    <row r="4" spans="1:1" x14ac:dyDescent="0.35">
      <c r="A4">
        <v>2344.15</v>
      </c>
    </row>
    <row r="5" spans="1:1" x14ac:dyDescent="0.35">
      <c r="A5">
        <v>2359.75</v>
      </c>
    </row>
    <row r="6" spans="1:1" x14ac:dyDescent="0.35">
      <c r="A6">
        <v>2374.25</v>
      </c>
    </row>
    <row r="7" spans="1:1" x14ac:dyDescent="0.35">
      <c r="A7">
        <v>2376.25</v>
      </c>
    </row>
    <row r="8" spans="1:1" x14ac:dyDescent="0.35">
      <c r="A8">
        <v>2376.85</v>
      </c>
    </row>
    <row r="9" spans="1:1" x14ac:dyDescent="0.35">
      <c r="A9">
        <v>2328.9499999999998</v>
      </c>
    </row>
    <row r="10" spans="1:1" x14ac:dyDescent="0.35">
      <c r="A10">
        <v>2402.1</v>
      </c>
    </row>
    <row r="11" spans="1:1" x14ac:dyDescent="0.35">
      <c r="A11">
        <v>2432.9</v>
      </c>
    </row>
    <row r="12" spans="1:1" x14ac:dyDescent="0.35">
      <c r="A12">
        <v>2411.1999999999998</v>
      </c>
    </row>
    <row r="13" spans="1:1" x14ac:dyDescent="0.35">
      <c r="A13">
        <v>2390</v>
      </c>
    </row>
    <row r="14" spans="1:1" x14ac:dyDescent="0.35">
      <c r="A14">
        <v>2394.65</v>
      </c>
    </row>
    <row r="15" spans="1:1" x14ac:dyDescent="0.35">
      <c r="A15">
        <v>2407.65</v>
      </c>
    </row>
    <row r="16" spans="1:1" x14ac:dyDescent="0.35">
      <c r="A16">
        <v>2408</v>
      </c>
    </row>
    <row r="17" spans="1:1" x14ac:dyDescent="0.35">
      <c r="A17">
        <v>2353.75</v>
      </c>
    </row>
    <row r="18" spans="1:1" x14ac:dyDescent="0.35">
      <c r="A18">
        <v>2407.6</v>
      </c>
    </row>
    <row r="19" spans="1:1" x14ac:dyDescent="0.35">
      <c r="A19">
        <v>2406.5500000000002</v>
      </c>
    </row>
    <row r="20" spans="1:1" x14ac:dyDescent="0.35">
      <c r="A20">
        <v>2379.85</v>
      </c>
    </row>
    <row r="21" spans="1:1" x14ac:dyDescent="0.35">
      <c r="A21">
        <v>2360.65</v>
      </c>
    </row>
    <row r="22" spans="1:1" x14ac:dyDescent="0.35">
      <c r="A22">
        <v>2307.75</v>
      </c>
    </row>
    <row r="23" spans="1:1" x14ac:dyDescent="0.35">
      <c r="A23">
        <v>2349.4</v>
      </c>
    </row>
    <row r="24" spans="1:1" x14ac:dyDescent="0.35">
      <c r="A24">
        <v>2397.4499999999998</v>
      </c>
    </row>
    <row r="25" spans="1:1" x14ac:dyDescent="0.35">
      <c r="A25">
        <v>2436.65</v>
      </c>
    </row>
    <row r="26" spans="1:1" x14ac:dyDescent="0.35">
      <c r="A26">
        <v>2458.9</v>
      </c>
    </row>
    <row r="27" spans="1:1" x14ac:dyDescent="0.35">
      <c r="A27">
        <v>2460.65</v>
      </c>
    </row>
    <row r="28" spans="1:1" x14ac:dyDescent="0.35">
      <c r="A28">
        <v>2454.4</v>
      </c>
    </row>
    <row r="29" spans="1:1" x14ac:dyDescent="0.35">
      <c r="A29">
        <v>2462</v>
      </c>
    </row>
    <row r="30" spans="1:1" x14ac:dyDescent="0.35">
      <c r="A30">
        <v>2476</v>
      </c>
    </row>
    <row r="31" spans="1:1" x14ac:dyDescent="0.35">
      <c r="A31">
        <v>2409.9</v>
      </c>
    </row>
    <row r="32" spans="1:1" x14ac:dyDescent="0.35">
      <c r="A32">
        <v>2405.25</v>
      </c>
    </row>
    <row r="33" spans="1:1" x14ac:dyDescent="0.35">
      <c r="A33">
        <v>2408.3000000000002</v>
      </c>
    </row>
    <row r="34" spans="1:1" x14ac:dyDescent="0.35">
      <c r="A34">
        <v>2373.1999999999998</v>
      </c>
    </row>
    <row r="35" spans="1:1" x14ac:dyDescent="0.35">
      <c r="A35">
        <v>2399.1</v>
      </c>
    </row>
    <row r="36" spans="1:1" x14ac:dyDescent="0.35">
      <c r="A36">
        <v>2431.5</v>
      </c>
    </row>
    <row r="37" spans="1:1" x14ac:dyDescent="0.35">
      <c r="A37">
        <v>2398.75</v>
      </c>
    </row>
    <row r="38" spans="1:1" x14ac:dyDescent="0.35">
      <c r="A38">
        <v>2317.9</v>
      </c>
    </row>
    <row r="39" spans="1:1" x14ac:dyDescent="0.35">
      <c r="A39">
        <v>2237.0500000000002</v>
      </c>
    </row>
    <row r="40" spans="1:1" x14ac:dyDescent="0.35">
      <c r="A40">
        <v>2318.6</v>
      </c>
    </row>
    <row r="41" spans="1:1" x14ac:dyDescent="0.35">
      <c r="A41">
        <v>2337.3000000000002</v>
      </c>
    </row>
    <row r="42" spans="1:1" x14ac:dyDescent="0.35">
      <c r="A42">
        <v>2353.1999999999998</v>
      </c>
    </row>
    <row r="43" spans="1:1" x14ac:dyDescent="0.35">
      <c r="A43">
        <v>2312.0500000000002</v>
      </c>
    </row>
    <row r="44" spans="1:1" x14ac:dyDescent="0.35">
      <c r="A44">
        <v>2215.1999999999998</v>
      </c>
    </row>
    <row r="45" spans="1:1" x14ac:dyDescent="0.35">
      <c r="A45">
        <v>2226.3000000000002</v>
      </c>
    </row>
    <row r="46" spans="1:1" x14ac:dyDescent="0.35">
      <c r="A46">
        <v>2244.0500000000002</v>
      </c>
    </row>
    <row r="47" spans="1:1" x14ac:dyDescent="0.35">
      <c r="A47">
        <v>2210.85</v>
      </c>
    </row>
    <row r="48" spans="1:1" x14ac:dyDescent="0.35">
      <c r="A48">
        <v>2204.75</v>
      </c>
    </row>
    <row r="49" spans="1:1" x14ac:dyDescent="0.35">
      <c r="A49">
        <v>2227.85</v>
      </c>
    </row>
    <row r="50" spans="1:1" x14ac:dyDescent="0.35">
      <c r="A50">
        <v>2198.5</v>
      </c>
    </row>
    <row r="51" spans="1:1" x14ac:dyDescent="0.35">
      <c r="A51">
        <v>2174.5500000000002</v>
      </c>
    </row>
    <row r="52" spans="1:1" x14ac:dyDescent="0.35">
      <c r="A52">
        <v>2201.1</v>
      </c>
    </row>
    <row r="53" spans="1:1" x14ac:dyDescent="0.35">
      <c r="A53">
        <v>2196.9</v>
      </c>
    </row>
    <row r="54" spans="1:1" x14ac:dyDescent="0.35">
      <c r="A54">
        <v>2193.5</v>
      </c>
    </row>
    <row r="55" spans="1:1" x14ac:dyDescent="0.35">
      <c r="A55">
        <v>2177.9499999999998</v>
      </c>
    </row>
    <row r="56" spans="1:1" x14ac:dyDescent="0.35">
      <c r="A56">
        <v>2143.4</v>
      </c>
    </row>
    <row r="57" spans="1:1" x14ac:dyDescent="0.35">
      <c r="A57">
        <v>2132.0500000000002</v>
      </c>
    </row>
    <row r="58" spans="1:1" x14ac:dyDescent="0.35">
      <c r="A58">
        <v>2163.3000000000002</v>
      </c>
    </row>
    <row r="59" spans="1:1" x14ac:dyDescent="0.35">
      <c r="A59">
        <v>2178.85</v>
      </c>
    </row>
    <row r="60" spans="1:1" x14ac:dyDescent="0.35">
      <c r="A60">
        <v>2179.25</v>
      </c>
    </row>
    <row r="61" spans="1:1" x14ac:dyDescent="0.35">
      <c r="A61">
        <v>2167.6</v>
      </c>
    </row>
    <row r="62" spans="1:1" x14ac:dyDescent="0.35">
      <c r="A62">
        <v>2181.1</v>
      </c>
    </row>
    <row r="63" spans="1:1" x14ac:dyDescent="0.35">
      <c r="A63">
        <v>2146.85</v>
      </c>
    </row>
    <row r="64" spans="1:1" x14ac:dyDescent="0.35">
      <c r="A64">
        <v>2163.9</v>
      </c>
    </row>
    <row r="65" spans="1:1" x14ac:dyDescent="0.35">
      <c r="A65">
        <v>2196.1</v>
      </c>
    </row>
    <row r="66" spans="1:1" x14ac:dyDescent="0.35">
      <c r="A66">
        <v>2215.1999999999998</v>
      </c>
    </row>
    <row r="67" spans="1:1" x14ac:dyDescent="0.35">
      <c r="A67">
        <v>2241.5500000000002</v>
      </c>
    </row>
    <row r="68" spans="1:1" x14ac:dyDescent="0.35">
      <c r="A68">
        <v>2263</v>
      </c>
    </row>
    <row r="69" spans="1:1" x14ac:dyDescent="0.35">
      <c r="A69">
        <v>2235.5</v>
      </c>
    </row>
    <row r="70" spans="1:1" x14ac:dyDescent="0.35">
      <c r="A70">
        <v>2216.25</v>
      </c>
    </row>
    <row r="71" spans="1:1" x14ac:dyDescent="0.35">
      <c r="A71">
        <v>2236.65</v>
      </c>
    </row>
    <row r="72" spans="1:1" x14ac:dyDescent="0.35">
      <c r="A72">
        <v>2269.5500000000002</v>
      </c>
    </row>
    <row r="73" spans="1:1" x14ac:dyDescent="0.35">
      <c r="A73">
        <v>2245.6</v>
      </c>
    </row>
    <row r="74" spans="1:1" x14ac:dyDescent="0.35">
      <c r="A74">
        <v>2232.85</v>
      </c>
    </row>
    <row r="75" spans="1:1" x14ac:dyDescent="0.35">
      <c r="A75">
        <v>2230.4499999999998</v>
      </c>
    </row>
    <row r="76" spans="1:1" x14ac:dyDescent="0.35">
      <c r="A76">
        <v>2248.6</v>
      </c>
    </row>
    <row r="77" spans="1:1" x14ac:dyDescent="0.35">
      <c r="A77">
        <v>2263.9</v>
      </c>
    </row>
    <row r="78" spans="1:1" x14ac:dyDescent="0.35">
      <c r="A78">
        <v>2300.4</v>
      </c>
    </row>
    <row r="79" spans="1:1" x14ac:dyDescent="0.35">
      <c r="A79">
        <v>2391.3000000000002</v>
      </c>
    </row>
    <row r="80" spans="1:1" x14ac:dyDescent="0.35">
      <c r="A80">
        <v>2399.6</v>
      </c>
    </row>
    <row r="81" spans="1:1" x14ac:dyDescent="0.35">
      <c r="A81">
        <v>2409.35</v>
      </c>
    </row>
    <row r="82" spans="1:1" x14ac:dyDescent="0.35">
      <c r="A82">
        <v>2367.65</v>
      </c>
    </row>
    <row r="83" spans="1:1" x14ac:dyDescent="0.35">
      <c r="A83">
        <v>2355.9499999999998</v>
      </c>
    </row>
    <row r="84" spans="1:1" x14ac:dyDescent="0.35">
      <c r="A84">
        <v>2363.15</v>
      </c>
    </row>
    <row r="85" spans="1:1" x14ac:dyDescent="0.35">
      <c r="A85">
        <v>2332.6</v>
      </c>
    </row>
    <row r="86" spans="1:1" x14ac:dyDescent="0.35">
      <c r="A86">
        <v>2351.15</v>
      </c>
    </row>
    <row r="87" spans="1:1" x14ac:dyDescent="0.35">
      <c r="A87">
        <v>2398.5500000000002</v>
      </c>
    </row>
    <row r="88" spans="1:1" x14ac:dyDescent="0.35">
      <c r="A88">
        <v>2372.35</v>
      </c>
    </row>
    <row r="89" spans="1:1" x14ac:dyDescent="0.35">
      <c r="A89">
        <v>2375.9</v>
      </c>
    </row>
    <row r="90" spans="1:1" x14ac:dyDescent="0.35">
      <c r="A90">
        <v>2429.1</v>
      </c>
    </row>
    <row r="91" spans="1:1" x14ac:dyDescent="0.35">
      <c r="A91">
        <v>2391.1999999999998</v>
      </c>
    </row>
    <row r="92" spans="1:1" x14ac:dyDescent="0.35">
      <c r="A92">
        <v>2368.85</v>
      </c>
    </row>
    <row r="93" spans="1:1" x14ac:dyDescent="0.35">
      <c r="A93">
        <v>2417.3000000000002</v>
      </c>
    </row>
    <row r="94" spans="1:1" x14ac:dyDescent="0.35">
      <c r="A94">
        <v>2450.5500000000002</v>
      </c>
    </row>
    <row r="95" spans="1:1" x14ac:dyDescent="0.35">
      <c r="A95">
        <v>2426.5</v>
      </c>
    </row>
    <row r="96" spans="1:1" x14ac:dyDescent="0.35">
      <c r="A96">
        <v>2387.5500000000002</v>
      </c>
    </row>
    <row r="97" spans="1:1" x14ac:dyDescent="0.35">
      <c r="A97">
        <v>2395.4</v>
      </c>
    </row>
    <row r="98" spans="1:1" x14ac:dyDescent="0.35">
      <c r="A98">
        <v>2406.6</v>
      </c>
    </row>
    <row r="99" spans="1:1" x14ac:dyDescent="0.35">
      <c r="A99">
        <v>2384.3000000000002</v>
      </c>
    </row>
    <row r="100" spans="1:1" x14ac:dyDescent="0.35">
      <c r="A100">
        <v>2388.9</v>
      </c>
    </row>
    <row r="101" spans="1:1" x14ac:dyDescent="0.35">
      <c r="A101">
        <v>2402.25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2F812-78EA-47EE-A6A4-AF7B19C2EEF3}">
  <sheetPr codeName="Sheet7"/>
  <dimension ref="A1:G101"/>
  <sheetViews>
    <sheetView workbookViewId="0"/>
  </sheetViews>
  <sheetFormatPr defaultColWidth="8.83203125" defaultRowHeight="14.5" x14ac:dyDescent="0.35"/>
  <cols>
    <col min="1" max="1" width="10" customWidth="1"/>
    <col min="2" max="4" width="7.58203125" customWidth="1"/>
    <col min="5" max="5" width="8.5" customWidth="1"/>
    <col min="6" max="6" width="13" customWidth="1"/>
    <col min="7" max="7" width="9.5" customWidth="1"/>
  </cols>
  <sheetData>
    <row r="1" spans="1:7" x14ac:dyDescent="0.35">
      <c r="A1" t="s">
        <v>32</v>
      </c>
      <c r="B1" t="s">
        <v>33</v>
      </c>
      <c r="C1" t="s">
        <v>34</v>
      </c>
      <c r="D1" t="s">
        <v>35</v>
      </c>
      <c r="E1" t="s">
        <v>36</v>
      </c>
      <c r="F1" t="s">
        <v>37</v>
      </c>
      <c r="G1" t="s">
        <v>38</v>
      </c>
    </row>
    <row r="2" spans="1:7" x14ac:dyDescent="0.35">
      <c r="A2" s="40">
        <v>44340</v>
      </c>
      <c r="B2">
        <v>1771.65</v>
      </c>
      <c r="C2">
        <v>1802</v>
      </c>
      <c r="D2">
        <v>1750</v>
      </c>
      <c r="E2">
        <v>1787.15</v>
      </c>
      <c r="F2">
        <v>1787.15</v>
      </c>
      <c r="G2">
        <v>849999</v>
      </c>
    </row>
    <row r="3" spans="1:7" x14ac:dyDescent="0.35">
      <c r="A3" s="40">
        <v>44337</v>
      </c>
      <c r="B3">
        <v>1791</v>
      </c>
      <c r="C3">
        <v>1798.75</v>
      </c>
      <c r="D3">
        <v>1756.75</v>
      </c>
      <c r="E3">
        <v>1762.15</v>
      </c>
      <c r="F3">
        <v>1762.15</v>
      </c>
      <c r="G3">
        <v>840640</v>
      </c>
    </row>
    <row r="4" spans="1:7" x14ac:dyDescent="0.35">
      <c r="A4" s="40">
        <v>44336</v>
      </c>
      <c r="B4">
        <v>1791.65</v>
      </c>
      <c r="C4">
        <v>1809.5</v>
      </c>
      <c r="D4">
        <v>1755</v>
      </c>
      <c r="E4">
        <v>1774.2</v>
      </c>
      <c r="F4">
        <v>1774.2</v>
      </c>
      <c r="G4">
        <v>670793</v>
      </c>
    </row>
    <row r="5" spans="1:7" x14ac:dyDescent="0.35">
      <c r="A5" s="40">
        <v>44335</v>
      </c>
      <c r="B5">
        <v>1800</v>
      </c>
      <c r="C5">
        <v>1824</v>
      </c>
      <c r="D5">
        <v>1765.2</v>
      </c>
      <c r="E5">
        <v>1775.4</v>
      </c>
      <c r="F5">
        <v>1775.4</v>
      </c>
      <c r="G5">
        <v>916464</v>
      </c>
    </row>
    <row r="6" spans="1:7" x14ac:dyDescent="0.35">
      <c r="A6" s="40">
        <v>44334</v>
      </c>
      <c r="B6">
        <v>1742.95</v>
      </c>
      <c r="C6">
        <v>1837</v>
      </c>
      <c r="D6">
        <v>1729.2</v>
      </c>
      <c r="E6">
        <v>1794.3</v>
      </c>
      <c r="F6">
        <v>1794.3</v>
      </c>
      <c r="G6">
        <v>2668035</v>
      </c>
    </row>
    <row r="7" spans="1:7" x14ac:dyDescent="0.35">
      <c r="A7" s="40">
        <v>44333</v>
      </c>
      <c r="B7">
        <v>1734.95</v>
      </c>
      <c r="C7">
        <v>1764.5</v>
      </c>
      <c r="D7">
        <v>1714</v>
      </c>
      <c r="E7">
        <v>1718.65</v>
      </c>
      <c r="F7">
        <v>1718.65</v>
      </c>
      <c r="G7">
        <v>854158</v>
      </c>
    </row>
    <row r="8" spans="1:7" x14ac:dyDescent="0.35">
      <c r="A8" s="40">
        <v>44330</v>
      </c>
      <c r="B8">
        <v>1806</v>
      </c>
      <c r="C8">
        <v>1809.35</v>
      </c>
      <c r="D8">
        <v>1712</v>
      </c>
      <c r="E8">
        <v>1728.1</v>
      </c>
      <c r="F8">
        <v>1728.1</v>
      </c>
      <c r="G8">
        <v>1047386</v>
      </c>
    </row>
    <row r="9" spans="1:7" x14ac:dyDescent="0.35">
      <c r="A9" s="40">
        <v>44328</v>
      </c>
      <c r="B9">
        <v>1797.45</v>
      </c>
      <c r="C9">
        <v>1813.65</v>
      </c>
      <c r="D9">
        <v>1776.35</v>
      </c>
      <c r="E9">
        <v>1791.3</v>
      </c>
      <c r="F9">
        <v>1791.3</v>
      </c>
      <c r="G9">
        <v>893835</v>
      </c>
    </row>
    <row r="10" spans="1:7" x14ac:dyDescent="0.35">
      <c r="A10" s="40">
        <v>44327</v>
      </c>
      <c r="B10">
        <v>1768</v>
      </c>
      <c r="C10">
        <v>1829.2</v>
      </c>
      <c r="D10">
        <v>1755.8</v>
      </c>
      <c r="E10">
        <v>1797.45</v>
      </c>
      <c r="F10">
        <v>1797.45</v>
      </c>
      <c r="G10">
        <v>1270066</v>
      </c>
    </row>
    <row r="11" spans="1:7" x14ac:dyDescent="0.35">
      <c r="A11" s="40">
        <v>44326</v>
      </c>
      <c r="B11">
        <v>1820.05</v>
      </c>
      <c r="C11">
        <v>1825</v>
      </c>
      <c r="D11">
        <v>1771</v>
      </c>
      <c r="E11">
        <v>1775.8</v>
      </c>
      <c r="F11">
        <v>1775.8</v>
      </c>
      <c r="G11">
        <v>1501458</v>
      </c>
    </row>
    <row r="12" spans="1:7" x14ac:dyDescent="0.35">
      <c r="A12" s="40">
        <v>44323</v>
      </c>
      <c r="B12">
        <v>1900.7</v>
      </c>
      <c r="C12">
        <v>1918.6</v>
      </c>
      <c r="D12">
        <v>1792.15</v>
      </c>
      <c r="E12">
        <v>1803.05</v>
      </c>
      <c r="F12">
        <v>1803.05</v>
      </c>
      <c r="G12">
        <v>2537304</v>
      </c>
    </row>
    <row r="13" spans="1:7" x14ac:dyDescent="0.35">
      <c r="A13" s="40">
        <v>44322</v>
      </c>
      <c r="B13">
        <v>1960</v>
      </c>
      <c r="C13">
        <v>1988</v>
      </c>
      <c r="D13">
        <v>1881</v>
      </c>
      <c r="E13">
        <v>1891.2</v>
      </c>
      <c r="F13">
        <v>1891.2</v>
      </c>
      <c r="G13">
        <v>3165908</v>
      </c>
    </row>
    <row r="14" spans="1:7" x14ac:dyDescent="0.35">
      <c r="A14" s="40">
        <v>44321</v>
      </c>
      <c r="B14">
        <v>1864</v>
      </c>
      <c r="C14">
        <v>1924.9</v>
      </c>
      <c r="D14">
        <v>1845</v>
      </c>
      <c r="E14">
        <v>1904</v>
      </c>
      <c r="F14">
        <v>1904</v>
      </c>
      <c r="G14">
        <v>1257678</v>
      </c>
    </row>
    <row r="15" spans="1:7" x14ac:dyDescent="0.35">
      <c r="A15" s="40">
        <v>44320</v>
      </c>
      <c r="B15">
        <v>1923.05</v>
      </c>
      <c r="C15">
        <v>1943.9</v>
      </c>
      <c r="D15">
        <v>1840.55</v>
      </c>
      <c r="E15">
        <v>1863.75</v>
      </c>
      <c r="F15">
        <v>1863.75</v>
      </c>
      <c r="G15">
        <v>1554705</v>
      </c>
    </row>
    <row r="16" spans="1:7" x14ac:dyDescent="0.35">
      <c r="A16" s="40">
        <v>44319</v>
      </c>
      <c r="B16">
        <v>1865.6</v>
      </c>
      <c r="C16">
        <v>1955</v>
      </c>
      <c r="D16">
        <v>1855.6</v>
      </c>
      <c r="E16">
        <v>1904.1</v>
      </c>
      <c r="F16">
        <v>1904.1</v>
      </c>
      <c r="G16">
        <v>2911349</v>
      </c>
    </row>
    <row r="17" spans="1:7" x14ac:dyDescent="0.35">
      <c r="A17" s="40">
        <v>44316</v>
      </c>
      <c r="B17">
        <v>1787</v>
      </c>
      <c r="C17">
        <v>1900</v>
      </c>
      <c r="D17">
        <v>1767.9</v>
      </c>
      <c r="E17">
        <v>1865.6</v>
      </c>
      <c r="F17">
        <v>1865.6</v>
      </c>
      <c r="G17">
        <v>2623486</v>
      </c>
    </row>
    <row r="18" spans="1:7" x14ac:dyDescent="0.35">
      <c r="A18" s="40">
        <v>44315</v>
      </c>
      <c r="B18">
        <v>1800</v>
      </c>
      <c r="C18">
        <v>1827.7</v>
      </c>
      <c r="D18">
        <v>1775.05</v>
      </c>
      <c r="E18">
        <v>1787.25</v>
      </c>
      <c r="F18">
        <v>1787.25</v>
      </c>
      <c r="G18">
        <v>1225613</v>
      </c>
    </row>
    <row r="19" spans="1:7" x14ac:dyDescent="0.35">
      <c r="A19" s="40">
        <v>44314</v>
      </c>
      <c r="B19">
        <v>1805</v>
      </c>
      <c r="C19">
        <v>1850</v>
      </c>
      <c r="D19">
        <v>1755</v>
      </c>
      <c r="E19">
        <v>1780.45</v>
      </c>
      <c r="F19">
        <v>1780.45</v>
      </c>
      <c r="G19">
        <v>3388293</v>
      </c>
    </row>
    <row r="20" spans="1:7" x14ac:dyDescent="0.35">
      <c r="A20" s="40">
        <v>44313</v>
      </c>
      <c r="B20">
        <v>1650</v>
      </c>
      <c r="C20">
        <v>1795</v>
      </c>
      <c r="D20">
        <v>1650</v>
      </c>
      <c r="E20">
        <v>1782.55</v>
      </c>
      <c r="F20">
        <v>1782.55</v>
      </c>
      <c r="G20">
        <v>4531215</v>
      </c>
    </row>
    <row r="21" spans="1:7" x14ac:dyDescent="0.35">
      <c r="A21" s="40">
        <v>44312</v>
      </c>
      <c r="B21">
        <v>1648.4</v>
      </c>
      <c r="C21">
        <v>1654.6</v>
      </c>
      <c r="D21">
        <v>1607</v>
      </c>
      <c r="E21">
        <v>1637.5</v>
      </c>
      <c r="F21">
        <v>1637.5</v>
      </c>
      <c r="G21">
        <v>1464576</v>
      </c>
    </row>
    <row r="22" spans="1:7" x14ac:dyDescent="0.35">
      <c r="A22" s="40">
        <v>44309</v>
      </c>
      <c r="B22">
        <v>1611.55</v>
      </c>
      <c r="C22">
        <v>1673.85</v>
      </c>
      <c r="D22">
        <v>1607.35</v>
      </c>
      <c r="E22">
        <v>1627.85</v>
      </c>
      <c r="F22">
        <v>1627.85</v>
      </c>
      <c r="G22">
        <v>1531076</v>
      </c>
    </row>
    <row r="23" spans="1:7" x14ac:dyDescent="0.35">
      <c r="A23" s="40">
        <v>44308</v>
      </c>
      <c r="B23">
        <v>1552</v>
      </c>
      <c r="C23">
        <v>1609</v>
      </c>
      <c r="D23">
        <v>1550</v>
      </c>
      <c r="E23">
        <v>1598.55</v>
      </c>
      <c r="F23">
        <v>1598.55</v>
      </c>
      <c r="G23">
        <v>598104</v>
      </c>
    </row>
    <row r="24" spans="1:7" x14ac:dyDescent="0.35">
      <c r="A24" s="40">
        <v>44306</v>
      </c>
      <c r="B24">
        <v>1585.6</v>
      </c>
      <c r="C24">
        <v>1595.75</v>
      </c>
      <c r="D24">
        <v>1550</v>
      </c>
      <c r="E24">
        <v>1559.85</v>
      </c>
      <c r="F24">
        <v>1559.85</v>
      </c>
      <c r="G24">
        <v>430408</v>
      </c>
    </row>
    <row r="25" spans="1:7" x14ac:dyDescent="0.35">
      <c r="A25" s="40">
        <v>44305</v>
      </c>
      <c r="B25">
        <v>1549.6</v>
      </c>
      <c r="C25">
        <v>1571.9</v>
      </c>
      <c r="D25">
        <v>1533.25</v>
      </c>
      <c r="E25">
        <v>1558.85</v>
      </c>
      <c r="F25">
        <v>1558.85</v>
      </c>
      <c r="G25">
        <v>469972</v>
      </c>
    </row>
    <row r="26" spans="1:7" x14ac:dyDescent="0.35">
      <c r="A26" s="40">
        <v>44302</v>
      </c>
      <c r="B26">
        <v>1614.95</v>
      </c>
      <c r="C26">
        <v>1625</v>
      </c>
      <c r="D26">
        <v>1582</v>
      </c>
      <c r="E26">
        <v>1587.95</v>
      </c>
      <c r="F26">
        <v>1587.95</v>
      </c>
      <c r="G26">
        <v>790412</v>
      </c>
    </row>
    <row r="27" spans="1:7" x14ac:dyDescent="0.35">
      <c r="A27" s="40">
        <v>44301</v>
      </c>
      <c r="B27">
        <v>1587</v>
      </c>
      <c r="C27">
        <v>1615.85</v>
      </c>
      <c r="D27">
        <v>1557</v>
      </c>
      <c r="E27">
        <v>1608.15</v>
      </c>
      <c r="F27">
        <v>1608.15</v>
      </c>
      <c r="G27">
        <v>651992</v>
      </c>
    </row>
    <row r="28" spans="1:7" x14ac:dyDescent="0.35">
      <c r="A28" s="40">
        <v>44299</v>
      </c>
      <c r="B28">
        <v>1596</v>
      </c>
      <c r="C28">
        <v>1627.5</v>
      </c>
      <c r="D28">
        <v>1568.4</v>
      </c>
      <c r="E28">
        <v>1587.1</v>
      </c>
      <c r="F28">
        <v>1587.1</v>
      </c>
      <c r="G28">
        <v>785135</v>
      </c>
    </row>
    <row r="29" spans="1:7" x14ac:dyDescent="0.35">
      <c r="A29" s="40">
        <v>44298</v>
      </c>
      <c r="B29">
        <v>1670</v>
      </c>
      <c r="C29">
        <v>1670</v>
      </c>
      <c r="D29">
        <v>1573.35</v>
      </c>
      <c r="E29">
        <v>1582.8</v>
      </c>
      <c r="F29">
        <v>1582.8</v>
      </c>
      <c r="G29">
        <v>815976</v>
      </c>
    </row>
    <row r="30" spans="1:7" x14ac:dyDescent="0.35">
      <c r="A30" s="40">
        <v>44295</v>
      </c>
      <c r="B30">
        <v>1707</v>
      </c>
      <c r="C30">
        <v>1723.65</v>
      </c>
      <c r="D30">
        <v>1674.65</v>
      </c>
      <c r="E30">
        <v>1681.25</v>
      </c>
      <c r="F30">
        <v>1681.25</v>
      </c>
      <c r="G30">
        <v>721294</v>
      </c>
    </row>
    <row r="31" spans="1:7" x14ac:dyDescent="0.35">
      <c r="A31" s="40">
        <v>44294</v>
      </c>
      <c r="B31">
        <v>1706.45</v>
      </c>
      <c r="C31">
        <v>1750</v>
      </c>
      <c r="D31">
        <v>1703.05</v>
      </c>
      <c r="E31">
        <v>1712.1</v>
      </c>
      <c r="F31">
        <v>1712.1</v>
      </c>
      <c r="G31">
        <v>1245796</v>
      </c>
    </row>
    <row r="32" spans="1:7" x14ac:dyDescent="0.35">
      <c r="A32" s="40">
        <v>44293</v>
      </c>
      <c r="B32">
        <v>1663.95</v>
      </c>
      <c r="C32">
        <v>1711.95</v>
      </c>
      <c r="D32">
        <v>1663</v>
      </c>
      <c r="E32">
        <v>1697.95</v>
      </c>
      <c r="F32">
        <v>1697.95</v>
      </c>
      <c r="G32">
        <v>1016870</v>
      </c>
    </row>
    <row r="33" spans="1:7" x14ac:dyDescent="0.35">
      <c r="A33" s="40">
        <v>44292</v>
      </c>
      <c r="B33">
        <v>1623</v>
      </c>
      <c r="C33">
        <v>1708.05</v>
      </c>
      <c r="D33">
        <v>1615.4</v>
      </c>
      <c r="E33">
        <v>1657.15</v>
      </c>
      <c r="F33">
        <v>1657.15</v>
      </c>
      <c r="G33">
        <v>1888582</v>
      </c>
    </row>
    <row r="34" spans="1:7" x14ac:dyDescent="0.35">
      <c r="A34" s="40">
        <v>44291</v>
      </c>
      <c r="B34">
        <v>1647.8</v>
      </c>
      <c r="C34">
        <v>1668</v>
      </c>
      <c r="D34">
        <v>1602</v>
      </c>
      <c r="E34">
        <v>1617.15</v>
      </c>
      <c r="F34">
        <v>1617.15</v>
      </c>
      <c r="G34">
        <v>697617</v>
      </c>
    </row>
    <row r="35" spans="1:7" x14ac:dyDescent="0.35">
      <c r="A35" s="40">
        <v>44287</v>
      </c>
      <c r="B35">
        <v>1675</v>
      </c>
      <c r="C35">
        <v>1693.7</v>
      </c>
      <c r="D35">
        <v>1635.95</v>
      </c>
      <c r="E35">
        <v>1646.75</v>
      </c>
      <c r="F35">
        <v>1646.75</v>
      </c>
      <c r="G35">
        <v>1007936</v>
      </c>
    </row>
    <row r="36" spans="1:7" x14ac:dyDescent="0.35">
      <c r="A36" s="40">
        <v>44286</v>
      </c>
      <c r="B36">
        <v>1637</v>
      </c>
      <c r="C36">
        <v>1665.3</v>
      </c>
      <c r="D36">
        <v>1619.8</v>
      </c>
      <c r="E36">
        <v>1656.5</v>
      </c>
      <c r="F36">
        <v>1656.5</v>
      </c>
      <c r="G36">
        <v>1364001</v>
      </c>
    </row>
    <row r="37" spans="1:7" x14ac:dyDescent="0.35">
      <c r="A37" s="40">
        <v>44285</v>
      </c>
      <c r="B37">
        <v>1585</v>
      </c>
      <c r="C37">
        <v>1637.95</v>
      </c>
      <c r="D37">
        <v>1546.1</v>
      </c>
      <c r="E37">
        <v>1626.1</v>
      </c>
      <c r="F37">
        <v>1626.1</v>
      </c>
      <c r="G37">
        <v>1948335</v>
      </c>
    </row>
    <row r="38" spans="1:7" x14ac:dyDescent="0.35">
      <c r="A38" s="40">
        <v>44281</v>
      </c>
      <c r="B38">
        <v>1558</v>
      </c>
      <c r="C38">
        <v>1570.05</v>
      </c>
      <c r="D38">
        <v>1535</v>
      </c>
      <c r="E38">
        <v>1561</v>
      </c>
      <c r="F38">
        <v>1561</v>
      </c>
      <c r="G38">
        <v>667210</v>
      </c>
    </row>
    <row r="39" spans="1:7" x14ac:dyDescent="0.35">
      <c r="A39" s="40">
        <v>44280</v>
      </c>
      <c r="B39">
        <v>1549.55</v>
      </c>
      <c r="C39">
        <v>1553.45</v>
      </c>
      <c r="D39">
        <v>1485</v>
      </c>
      <c r="E39">
        <v>1534.15</v>
      </c>
      <c r="F39">
        <v>1534.15</v>
      </c>
      <c r="G39">
        <v>1122154</v>
      </c>
    </row>
    <row r="40" spans="1:7" x14ac:dyDescent="0.35">
      <c r="A40" s="40">
        <v>44279</v>
      </c>
      <c r="B40">
        <v>1579.2</v>
      </c>
      <c r="C40">
        <v>1618.4</v>
      </c>
      <c r="D40">
        <v>1528.85</v>
      </c>
      <c r="E40">
        <v>1538.5</v>
      </c>
      <c r="F40">
        <v>1538.5</v>
      </c>
      <c r="G40">
        <v>1636452</v>
      </c>
    </row>
    <row r="41" spans="1:7" x14ac:dyDescent="0.35">
      <c r="A41" s="40">
        <v>44278</v>
      </c>
      <c r="B41">
        <v>1535</v>
      </c>
      <c r="C41">
        <v>1604</v>
      </c>
      <c r="D41">
        <v>1520</v>
      </c>
      <c r="E41">
        <v>1580.2</v>
      </c>
      <c r="F41">
        <v>1580.2</v>
      </c>
      <c r="G41">
        <v>1534101</v>
      </c>
    </row>
    <row r="42" spans="1:7" x14ac:dyDescent="0.35">
      <c r="A42" s="40">
        <v>44277</v>
      </c>
      <c r="B42">
        <v>1515.95</v>
      </c>
      <c r="C42">
        <v>1545</v>
      </c>
      <c r="D42">
        <v>1474.55</v>
      </c>
      <c r="E42">
        <v>1530.5</v>
      </c>
      <c r="F42">
        <v>1530.5</v>
      </c>
      <c r="G42">
        <v>698562</v>
      </c>
    </row>
    <row r="43" spans="1:7" x14ac:dyDescent="0.35">
      <c r="A43" s="40">
        <v>44274</v>
      </c>
      <c r="B43">
        <v>1490.9</v>
      </c>
      <c r="C43">
        <v>1522.15</v>
      </c>
      <c r="D43">
        <v>1428.25</v>
      </c>
      <c r="E43">
        <v>1514.65</v>
      </c>
      <c r="F43">
        <v>1514.65</v>
      </c>
      <c r="G43">
        <v>1036169</v>
      </c>
    </row>
    <row r="44" spans="1:7" x14ac:dyDescent="0.35">
      <c r="A44" s="40">
        <v>44273</v>
      </c>
      <c r="B44">
        <v>1537.95</v>
      </c>
      <c r="C44">
        <v>1564.9</v>
      </c>
      <c r="D44">
        <v>1460.25</v>
      </c>
      <c r="E44">
        <v>1484.35</v>
      </c>
      <c r="F44">
        <v>1484.35</v>
      </c>
      <c r="G44">
        <v>1149967</v>
      </c>
    </row>
    <row r="45" spans="1:7" x14ac:dyDescent="0.35">
      <c r="A45" s="40">
        <v>44272</v>
      </c>
      <c r="B45">
        <v>1571</v>
      </c>
      <c r="C45">
        <v>1576.6</v>
      </c>
      <c r="D45">
        <v>1509.2</v>
      </c>
      <c r="E45">
        <v>1523.4</v>
      </c>
      <c r="F45">
        <v>1523.4</v>
      </c>
      <c r="G45">
        <v>436834</v>
      </c>
    </row>
    <row r="46" spans="1:7" x14ac:dyDescent="0.35">
      <c r="A46" s="40">
        <v>44271</v>
      </c>
      <c r="B46">
        <v>1559.9</v>
      </c>
      <c r="C46">
        <v>1599</v>
      </c>
      <c r="D46">
        <v>1530</v>
      </c>
      <c r="E46">
        <v>1570.9</v>
      </c>
      <c r="F46">
        <v>1570.9</v>
      </c>
      <c r="G46">
        <v>651515</v>
      </c>
    </row>
    <row r="47" spans="1:7" x14ac:dyDescent="0.35">
      <c r="A47" s="40">
        <v>44270</v>
      </c>
      <c r="B47">
        <v>1575.9</v>
      </c>
      <c r="C47">
        <v>1576.8</v>
      </c>
      <c r="D47">
        <v>1523.1</v>
      </c>
      <c r="E47">
        <v>1553.15</v>
      </c>
      <c r="F47">
        <v>1553.15</v>
      </c>
      <c r="G47">
        <v>678017</v>
      </c>
    </row>
    <row r="48" spans="1:7" x14ac:dyDescent="0.35">
      <c r="A48" s="40">
        <v>44267</v>
      </c>
      <c r="B48">
        <v>1622</v>
      </c>
      <c r="C48">
        <v>1623.3</v>
      </c>
      <c r="D48">
        <v>1538</v>
      </c>
      <c r="E48">
        <v>1573.95</v>
      </c>
      <c r="F48">
        <v>1573.95</v>
      </c>
      <c r="G48">
        <v>1023219</v>
      </c>
    </row>
    <row r="49" spans="1:7" x14ac:dyDescent="0.35">
      <c r="A49" s="40">
        <v>44265</v>
      </c>
      <c r="B49">
        <v>1541.1</v>
      </c>
      <c r="C49">
        <v>1605.2</v>
      </c>
      <c r="D49">
        <v>1525</v>
      </c>
      <c r="E49">
        <v>1599.3</v>
      </c>
      <c r="F49">
        <v>1599.3</v>
      </c>
      <c r="G49">
        <v>1170778</v>
      </c>
    </row>
    <row r="50" spans="1:7" x14ac:dyDescent="0.35">
      <c r="A50" s="40">
        <v>44264</v>
      </c>
      <c r="B50">
        <v>1580.4</v>
      </c>
      <c r="C50">
        <v>1588.4</v>
      </c>
      <c r="D50">
        <v>1503</v>
      </c>
      <c r="E50">
        <v>1537.25</v>
      </c>
      <c r="F50">
        <v>1537.25</v>
      </c>
      <c r="G50">
        <v>839875</v>
      </c>
    </row>
    <row r="51" spans="1:7" x14ac:dyDescent="0.35">
      <c r="A51" s="40">
        <v>44263</v>
      </c>
      <c r="B51">
        <v>1596.05</v>
      </c>
      <c r="C51">
        <v>1632</v>
      </c>
      <c r="D51">
        <v>1556.05</v>
      </c>
      <c r="E51">
        <v>1566.45</v>
      </c>
      <c r="F51">
        <v>1566.45</v>
      </c>
      <c r="G51">
        <v>803039</v>
      </c>
    </row>
    <row r="52" spans="1:7" x14ac:dyDescent="0.35">
      <c r="A52" s="40">
        <v>44260</v>
      </c>
      <c r="B52">
        <v>1615.4</v>
      </c>
      <c r="C52">
        <v>1647.6</v>
      </c>
      <c r="D52">
        <v>1562</v>
      </c>
      <c r="E52">
        <v>1581.8</v>
      </c>
      <c r="F52">
        <v>1581.8</v>
      </c>
      <c r="G52">
        <v>1250155</v>
      </c>
    </row>
    <row r="53" spans="1:7" x14ac:dyDescent="0.35">
      <c r="A53" s="40">
        <v>44259</v>
      </c>
      <c r="B53">
        <v>1617.9</v>
      </c>
      <c r="C53">
        <v>1690</v>
      </c>
      <c r="D53">
        <v>1600.05</v>
      </c>
      <c r="E53">
        <v>1612.4</v>
      </c>
      <c r="F53">
        <v>1612.4</v>
      </c>
      <c r="G53">
        <v>2455368</v>
      </c>
    </row>
    <row r="54" spans="1:7" x14ac:dyDescent="0.35">
      <c r="A54" s="40">
        <v>44258</v>
      </c>
      <c r="B54">
        <v>1608</v>
      </c>
      <c r="C54">
        <v>1639.45</v>
      </c>
      <c r="D54">
        <v>1582.8</v>
      </c>
      <c r="E54">
        <v>1602.15</v>
      </c>
      <c r="F54">
        <v>1602.15</v>
      </c>
      <c r="G54">
        <v>1270366</v>
      </c>
    </row>
    <row r="55" spans="1:7" x14ac:dyDescent="0.35">
      <c r="A55" s="40">
        <v>44257</v>
      </c>
      <c r="B55">
        <v>1585</v>
      </c>
      <c r="C55">
        <v>1663.15</v>
      </c>
      <c r="D55">
        <v>1517.15</v>
      </c>
      <c r="E55">
        <v>1607.85</v>
      </c>
      <c r="F55">
        <v>1607.85</v>
      </c>
      <c r="G55">
        <v>3111655</v>
      </c>
    </row>
    <row r="56" spans="1:7" x14ac:dyDescent="0.35">
      <c r="A56" s="40">
        <v>44256</v>
      </c>
      <c r="B56">
        <v>1385</v>
      </c>
      <c r="C56">
        <v>1573.9</v>
      </c>
      <c r="D56">
        <v>1379.05</v>
      </c>
      <c r="E56">
        <v>1563.75</v>
      </c>
      <c r="F56">
        <v>1563.75</v>
      </c>
      <c r="G56">
        <v>2627071</v>
      </c>
    </row>
    <row r="57" spans="1:7" x14ac:dyDescent="0.35">
      <c r="A57" s="40">
        <v>44253</v>
      </c>
      <c r="B57">
        <v>1385</v>
      </c>
      <c r="C57">
        <v>1443.4</v>
      </c>
      <c r="D57">
        <v>1360</v>
      </c>
      <c r="E57">
        <v>1368.65</v>
      </c>
      <c r="F57">
        <v>1368.65</v>
      </c>
      <c r="G57">
        <v>1647656</v>
      </c>
    </row>
    <row r="58" spans="1:7" x14ac:dyDescent="0.35">
      <c r="A58" s="40">
        <v>44252</v>
      </c>
      <c r="B58">
        <v>1339.8</v>
      </c>
      <c r="C58">
        <v>1410</v>
      </c>
      <c r="D58">
        <v>1335</v>
      </c>
      <c r="E58">
        <v>1395.9</v>
      </c>
      <c r="F58">
        <v>1395.9</v>
      </c>
      <c r="G58">
        <v>731085</v>
      </c>
    </row>
    <row r="59" spans="1:7" x14ac:dyDescent="0.35">
      <c r="A59" s="40">
        <v>44251</v>
      </c>
      <c r="B59">
        <v>1296.25</v>
      </c>
      <c r="C59">
        <v>1344</v>
      </c>
      <c r="D59">
        <v>1270</v>
      </c>
      <c r="E59">
        <v>1318.65</v>
      </c>
      <c r="F59">
        <v>1318.65</v>
      </c>
      <c r="G59">
        <v>388603</v>
      </c>
    </row>
    <row r="60" spans="1:7" x14ac:dyDescent="0.35">
      <c r="A60" s="40">
        <v>44250</v>
      </c>
      <c r="B60">
        <v>1273</v>
      </c>
      <c r="C60">
        <v>1303</v>
      </c>
      <c r="D60">
        <v>1256.1500000000001</v>
      </c>
      <c r="E60">
        <v>1286.55</v>
      </c>
      <c r="F60">
        <v>1286.55</v>
      </c>
      <c r="G60">
        <v>383570</v>
      </c>
    </row>
    <row r="61" spans="1:7" x14ac:dyDescent="0.35">
      <c r="A61" s="40">
        <v>44249</v>
      </c>
      <c r="B61">
        <v>1290</v>
      </c>
      <c r="C61">
        <v>1305</v>
      </c>
      <c r="D61">
        <v>1246.25</v>
      </c>
      <c r="E61">
        <v>1265.8</v>
      </c>
      <c r="F61">
        <v>1265.8</v>
      </c>
      <c r="G61">
        <v>506067</v>
      </c>
    </row>
    <row r="62" spans="1:7" x14ac:dyDescent="0.35">
      <c r="A62" s="40">
        <v>44246</v>
      </c>
      <c r="B62">
        <v>1306</v>
      </c>
      <c r="C62">
        <v>1312</v>
      </c>
      <c r="D62">
        <v>1241.7</v>
      </c>
      <c r="E62">
        <v>1280.05</v>
      </c>
      <c r="F62">
        <v>1280.05</v>
      </c>
      <c r="G62">
        <v>734221</v>
      </c>
    </row>
    <row r="63" spans="1:7" x14ac:dyDescent="0.35">
      <c r="A63" s="40">
        <v>44245</v>
      </c>
      <c r="B63">
        <v>1309.5999999999999</v>
      </c>
      <c r="C63">
        <v>1325</v>
      </c>
      <c r="D63">
        <v>1278.05</v>
      </c>
      <c r="E63">
        <v>1313.75</v>
      </c>
      <c r="F63">
        <v>1313.75</v>
      </c>
      <c r="G63">
        <v>1390752</v>
      </c>
    </row>
    <row r="64" spans="1:7" x14ac:dyDescent="0.35">
      <c r="A64" s="40">
        <v>44244</v>
      </c>
      <c r="B64">
        <v>1276.75</v>
      </c>
      <c r="C64">
        <v>1330</v>
      </c>
      <c r="D64">
        <v>1259</v>
      </c>
      <c r="E64">
        <v>1301.05</v>
      </c>
      <c r="F64">
        <v>1301.05</v>
      </c>
      <c r="G64">
        <v>2510088</v>
      </c>
    </row>
    <row r="65" spans="1:7" x14ac:dyDescent="0.35">
      <c r="A65" s="40">
        <v>44243</v>
      </c>
      <c r="B65">
        <v>1198</v>
      </c>
      <c r="C65">
        <v>1294</v>
      </c>
      <c r="D65">
        <v>1162.7</v>
      </c>
      <c r="E65">
        <v>1273.8</v>
      </c>
      <c r="F65">
        <v>1273.8</v>
      </c>
      <c r="G65">
        <v>3710214</v>
      </c>
    </row>
    <row r="66" spans="1:7" x14ac:dyDescent="0.35">
      <c r="A66" s="40">
        <v>44242</v>
      </c>
      <c r="B66">
        <v>1137</v>
      </c>
      <c r="C66">
        <v>1240</v>
      </c>
      <c r="D66">
        <v>1131</v>
      </c>
      <c r="E66">
        <v>1178.8</v>
      </c>
      <c r="F66">
        <v>1178.8</v>
      </c>
      <c r="G66">
        <v>4034003</v>
      </c>
    </row>
    <row r="67" spans="1:7" x14ac:dyDescent="0.35">
      <c r="A67" s="40">
        <v>44239</v>
      </c>
      <c r="B67">
        <v>1137.8</v>
      </c>
      <c r="C67">
        <v>1159</v>
      </c>
      <c r="D67">
        <v>1094</v>
      </c>
      <c r="E67">
        <v>1110.6500000000001</v>
      </c>
      <c r="F67">
        <v>1110.6500000000001</v>
      </c>
      <c r="G67">
        <v>960909</v>
      </c>
    </row>
    <row r="68" spans="1:7" x14ac:dyDescent="0.35">
      <c r="A68" s="40">
        <v>44238</v>
      </c>
      <c r="B68">
        <v>1083.8</v>
      </c>
      <c r="C68">
        <v>1137.2</v>
      </c>
      <c r="D68">
        <v>1077</v>
      </c>
      <c r="E68">
        <v>1129.45</v>
      </c>
      <c r="F68">
        <v>1129.45</v>
      </c>
      <c r="G68">
        <v>1720614</v>
      </c>
    </row>
    <row r="69" spans="1:7" x14ac:dyDescent="0.35">
      <c r="A69" s="40">
        <v>44237</v>
      </c>
      <c r="B69">
        <v>1047.6500000000001</v>
      </c>
      <c r="C69">
        <v>1080.9000000000001</v>
      </c>
      <c r="D69">
        <v>1033.25</v>
      </c>
      <c r="E69">
        <v>1071.3499999999999</v>
      </c>
      <c r="F69">
        <v>1071.3499999999999</v>
      </c>
      <c r="G69">
        <v>741879</v>
      </c>
    </row>
    <row r="70" spans="1:7" x14ac:dyDescent="0.35">
      <c r="A70" s="40">
        <v>44236</v>
      </c>
      <c r="B70">
        <v>1037.7</v>
      </c>
      <c r="C70">
        <v>1046.9000000000001</v>
      </c>
      <c r="D70">
        <v>1022.4</v>
      </c>
      <c r="E70">
        <v>1038.25</v>
      </c>
      <c r="F70">
        <v>1038.25</v>
      </c>
      <c r="G70">
        <v>438190</v>
      </c>
    </row>
    <row r="71" spans="1:7" x14ac:dyDescent="0.35">
      <c r="A71" s="40">
        <v>44235</v>
      </c>
      <c r="B71">
        <v>1015</v>
      </c>
      <c r="C71">
        <v>1047.05</v>
      </c>
      <c r="D71">
        <v>1013.35</v>
      </c>
      <c r="E71">
        <v>1028.45</v>
      </c>
      <c r="F71">
        <v>1028.45</v>
      </c>
      <c r="G71">
        <v>354726</v>
      </c>
    </row>
    <row r="72" spans="1:7" x14ac:dyDescent="0.35">
      <c r="A72" s="40">
        <v>44232</v>
      </c>
      <c r="B72">
        <v>1034.45</v>
      </c>
      <c r="C72">
        <v>1037.9000000000001</v>
      </c>
      <c r="D72">
        <v>1009.05</v>
      </c>
      <c r="E72">
        <v>1012.65</v>
      </c>
      <c r="F72">
        <v>1012.65</v>
      </c>
      <c r="G72">
        <v>329802</v>
      </c>
    </row>
    <row r="73" spans="1:7" x14ac:dyDescent="0.35">
      <c r="A73" s="40">
        <v>44231</v>
      </c>
      <c r="B73">
        <v>1058.4000000000001</v>
      </c>
      <c r="C73">
        <v>1059.8</v>
      </c>
      <c r="D73">
        <v>1018.75</v>
      </c>
      <c r="E73">
        <v>1026.25</v>
      </c>
      <c r="F73">
        <v>1026.25</v>
      </c>
      <c r="G73">
        <v>731744</v>
      </c>
    </row>
    <row r="74" spans="1:7" x14ac:dyDescent="0.35">
      <c r="A74" s="40">
        <v>44230</v>
      </c>
      <c r="B74">
        <v>991.5</v>
      </c>
      <c r="C74">
        <v>1062</v>
      </c>
      <c r="D74">
        <v>985</v>
      </c>
      <c r="E74">
        <v>1049.8</v>
      </c>
      <c r="F74">
        <v>1049.8</v>
      </c>
      <c r="G74">
        <v>1475620</v>
      </c>
    </row>
    <row r="75" spans="1:7" x14ac:dyDescent="0.35">
      <c r="A75" s="40">
        <v>44229</v>
      </c>
      <c r="B75">
        <v>981.35</v>
      </c>
      <c r="C75">
        <v>1010.15</v>
      </c>
      <c r="D75">
        <v>978</v>
      </c>
      <c r="E75">
        <v>981.55</v>
      </c>
      <c r="F75">
        <v>981.55</v>
      </c>
      <c r="G75">
        <v>798239</v>
      </c>
    </row>
    <row r="76" spans="1:7" x14ac:dyDescent="0.35">
      <c r="A76" s="40">
        <v>44228</v>
      </c>
      <c r="B76">
        <v>971.55</v>
      </c>
      <c r="C76">
        <v>1002.85</v>
      </c>
      <c r="D76">
        <v>944</v>
      </c>
      <c r="E76">
        <v>990.45</v>
      </c>
      <c r="F76">
        <v>990.45</v>
      </c>
      <c r="G76">
        <v>738275</v>
      </c>
    </row>
    <row r="77" spans="1:7" x14ac:dyDescent="0.35">
      <c r="A77" s="40">
        <v>44225</v>
      </c>
      <c r="B77">
        <v>990</v>
      </c>
      <c r="C77">
        <v>1005</v>
      </c>
      <c r="D77">
        <v>961.2</v>
      </c>
      <c r="E77">
        <v>971.55</v>
      </c>
      <c r="F77">
        <v>971.55</v>
      </c>
      <c r="G77">
        <v>443942</v>
      </c>
    </row>
    <row r="78" spans="1:7" x14ac:dyDescent="0.35">
      <c r="A78" s="40">
        <v>44224</v>
      </c>
      <c r="B78">
        <v>952</v>
      </c>
      <c r="C78">
        <v>1010.05</v>
      </c>
      <c r="D78">
        <v>941.2</v>
      </c>
      <c r="E78">
        <v>973</v>
      </c>
      <c r="F78">
        <v>973</v>
      </c>
      <c r="G78">
        <v>646672</v>
      </c>
    </row>
    <row r="79" spans="1:7" x14ac:dyDescent="0.35">
      <c r="A79" s="40">
        <v>44223</v>
      </c>
      <c r="B79">
        <v>986</v>
      </c>
      <c r="C79">
        <v>988</v>
      </c>
      <c r="D79">
        <v>961</v>
      </c>
      <c r="E79">
        <v>966.5</v>
      </c>
      <c r="F79">
        <v>966.5</v>
      </c>
      <c r="G79">
        <v>382009</v>
      </c>
    </row>
    <row r="80" spans="1:7" x14ac:dyDescent="0.35">
      <c r="A80" s="40">
        <v>44221</v>
      </c>
      <c r="B80">
        <v>1011.25</v>
      </c>
      <c r="C80">
        <v>1012.4</v>
      </c>
      <c r="D80">
        <v>981.65</v>
      </c>
      <c r="E80">
        <v>986.2</v>
      </c>
      <c r="F80">
        <v>986.2</v>
      </c>
      <c r="G80">
        <v>363962</v>
      </c>
    </row>
    <row r="81" spans="1:7" x14ac:dyDescent="0.35">
      <c r="A81" s="40">
        <v>44218</v>
      </c>
      <c r="B81">
        <v>1014</v>
      </c>
      <c r="C81">
        <v>1015.8</v>
      </c>
      <c r="D81">
        <v>987</v>
      </c>
      <c r="E81">
        <v>1001</v>
      </c>
      <c r="F81">
        <v>1001</v>
      </c>
      <c r="G81">
        <v>609335</v>
      </c>
    </row>
    <row r="82" spans="1:7" x14ac:dyDescent="0.35">
      <c r="A82" s="40">
        <v>44217</v>
      </c>
      <c r="B82">
        <v>1013.8</v>
      </c>
      <c r="C82">
        <v>1018.8</v>
      </c>
      <c r="D82">
        <v>1007</v>
      </c>
      <c r="E82">
        <v>1013.15</v>
      </c>
      <c r="F82">
        <v>1013.15</v>
      </c>
      <c r="G82">
        <v>420354</v>
      </c>
    </row>
    <row r="83" spans="1:7" x14ac:dyDescent="0.35">
      <c r="A83" s="40">
        <v>44216</v>
      </c>
      <c r="B83">
        <v>1017.5</v>
      </c>
      <c r="C83">
        <v>1022.9</v>
      </c>
      <c r="D83">
        <v>1000.1</v>
      </c>
      <c r="E83">
        <v>1009.3</v>
      </c>
      <c r="F83">
        <v>1009.3</v>
      </c>
      <c r="G83">
        <v>746794</v>
      </c>
    </row>
    <row r="84" spans="1:7" x14ac:dyDescent="0.35">
      <c r="A84" s="40">
        <v>44215</v>
      </c>
      <c r="B84">
        <v>1021</v>
      </c>
      <c r="C84">
        <v>1031</v>
      </c>
      <c r="D84">
        <v>1011</v>
      </c>
      <c r="E84">
        <v>1014.5</v>
      </c>
      <c r="F84">
        <v>1014.5</v>
      </c>
      <c r="G84">
        <v>934269</v>
      </c>
    </row>
    <row r="85" spans="1:7" x14ac:dyDescent="0.35">
      <c r="A85" s="40">
        <v>44214</v>
      </c>
      <c r="B85">
        <v>1012.5</v>
      </c>
      <c r="C85">
        <v>1033.95</v>
      </c>
      <c r="D85">
        <v>1004</v>
      </c>
      <c r="E85">
        <v>1011.6</v>
      </c>
      <c r="F85">
        <v>1011.6</v>
      </c>
      <c r="G85">
        <v>1006666</v>
      </c>
    </row>
    <row r="86" spans="1:7" x14ac:dyDescent="0.35">
      <c r="A86" s="40">
        <v>44211</v>
      </c>
      <c r="B86">
        <v>1039</v>
      </c>
      <c r="C86">
        <v>1040.8499999999999</v>
      </c>
      <c r="D86">
        <v>1011</v>
      </c>
      <c r="E86">
        <v>1022.2</v>
      </c>
      <c r="F86">
        <v>1022.2</v>
      </c>
      <c r="G86">
        <v>370563</v>
      </c>
    </row>
    <row r="87" spans="1:7" x14ac:dyDescent="0.35">
      <c r="A87" s="40">
        <v>44210</v>
      </c>
      <c r="B87">
        <v>1030.0999999999999</v>
      </c>
      <c r="C87">
        <v>1043</v>
      </c>
      <c r="D87">
        <v>1017.95</v>
      </c>
      <c r="E87">
        <v>1035.5999999999999</v>
      </c>
      <c r="F87">
        <v>1035.5999999999999</v>
      </c>
      <c r="G87">
        <v>347795</v>
      </c>
    </row>
    <row r="88" spans="1:7" x14ac:dyDescent="0.35">
      <c r="A88" s="40">
        <v>44209</v>
      </c>
      <c r="B88">
        <v>1033.5</v>
      </c>
      <c r="C88">
        <v>1043.8</v>
      </c>
      <c r="D88">
        <v>1015</v>
      </c>
      <c r="E88">
        <v>1027.5</v>
      </c>
      <c r="F88">
        <v>1027.5</v>
      </c>
      <c r="G88">
        <v>737911</v>
      </c>
    </row>
    <row r="89" spans="1:7" x14ac:dyDescent="0.35">
      <c r="A89" s="40">
        <v>44208</v>
      </c>
      <c r="B89">
        <v>1033.3</v>
      </c>
      <c r="C89">
        <v>1040</v>
      </c>
      <c r="D89">
        <v>1022.75</v>
      </c>
      <c r="E89">
        <v>1028.2</v>
      </c>
      <c r="F89">
        <v>1028.2</v>
      </c>
      <c r="G89">
        <v>516550</v>
      </c>
    </row>
    <row r="90" spans="1:7" x14ac:dyDescent="0.35">
      <c r="A90" s="40">
        <v>44207</v>
      </c>
      <c r="B90">
        <v>1060.5</v>
      </c>
      <c r="C90">
        <v>1063</v>
      </c>
      <c r="D90">
        <v>1020</v>
      </c>
      <c r="E90">
        <v>1028.1500000000001</v>
      </c>
      <c r="F90">
        <v>1028.1500000000001</v>
      </c>
      <c r="G90">
        <v>726331</v>
      </c>
    </row>
    <row r="91" spans="1:7" x14ac:dyDescent="0.35">
      <c r="A91" s="40">
        <v>44204</v>
      </c>
      <c r="B91">
        <v>1086</v>
      </c>
      <c r="C91">
        <v>1086</v>
      </c>
      <c r="D91">
        <v>1040.0999999999999</v>
      </c>
      <c r="E91">
        <v>1054.6500000000001</v>
      </c>
      <c r="F91">
        <v>1054.6500000000001</v>
      </c>
      <c r="G91">
        <v>655421</v>
      </c>
    </row>
    <row r="92" spans="1:7" x14ac:dyDescent="0.35">
      <c r="A92" s="40">
        <v>44203</v>
      </c>
      <c r="B92">
        <v>1036</v>
      </c>
      <c r="C92">
        <v>1072.5</v>
      </c>
      <c r="D92">
        <v>1036</v>
      </c>
      <c r="E92">
        <v>1059.5</v>
      </c>
      <c r="F92">
        <v>1059.5</v>
      </c>
      <c r="G92">
        <v>1276096</v>
      </c>
    </row>
    <row r="93" spans="1:7" x14ac:dyDescent="0.35">
      <c r="A93" s="40">
        <v>44202</v>
      </c>
      <c r="B93">
        <v>1015.3</v>
      </c>
      <c r="C93">
        <v>1041.7</v>
      </c>
      <c r="D93">
        <v>1007.1</v>
      </c>
      <c r="E93">
        <v>1033.0999999999999</v>
      </c>
      <c r="F93">
        <v>1033.0999999999999</v>
      </c>
      <c r="G93">
        <v>863571</v>
      </c>
    </row>
    <row r="94" spans="1:7" x14ac:dyDescent="0.35">
      <c r="A94" s="40">
        <v>44201</v>
      </c>
      <c r="B94">
        <v>1034</v>
      </c>
      <c r="C94">
        <v>1054</v>
      </c>
      <c r="D94">
        <v>1004.2</v>
      </c>
      <c r="E94">
        <v>1013.7</v>
      </c>
      <c r="F94">
        <v>1013.7</v>
      </c>
      <c r="G94">
        <v>1332215</v>
      </c>
    </row>
    <row r="95" spans="1:7" x14ac:dyDescent="0.35">
      <c r="A95" s="40">
        <v>44200</v>
      </c>
      <c r="B95">
        <v>1004.2</v>
      </c>
      <c r="C95">
        <v>1041.2</v>
      </c>
      <c r="D95">
        <v>985.9</v>
      </c>
      <c r="E95">
        <v>1034.05</v>
      </c>
      <c r="F95">
        <v>1034.05</v>
      </c>
      <c r="G95">
        <v>1999748</v>
      </c>
    </row>
    <row r="96" spans="1:7" x14ac:dyDescent="0.35">
      <c r="A96" s="40">
        <v>44197</v>
      </c>
      <c r="B96">
        <v>949</v>
      </c>
      <c r="C96">
        <v>999</v>
      </c>
      <c r="D96">
        <v>946.95</v>
      </c>
      <c r="E96">
        <v>987.85</v>
      </c>
      <c r="F96">
        <v>987.85</v>
      </c>
      <c r="G96">
        <v>2415931</v>
      </c>
    </row>
    <row r="97" spans="1:7" x14ac:dyDescent="0.35">
      <c r="A97" s="40">
        <v>44196</v>
      </c>
      <c r="B97">
        <v>920</v>
      </c>
      <c r="C97">
        <v>954.8</v>
      </c>
      <c r="D97">
        <v>918.7</v>
      </c>
      <c r="E97">
        <v>941.85</v>
      </c>
      <c r="F97">
        <v>941.85</v>
      </c>
      <c r="G97">
        <v>1210127</v>
      </c>
    </row>
    <row r="98" spans="1:7" x14ac:dyDescent="0.35">
      <c r="A98" s="40">
        <v>44195</v>
      </c>
      <c r="B98">
        <v>924</v>
      </c>
      <c r="C98">
        <v>935</v>
      </c>
      <c r="D98">
        <v>910.5</v>
      </c>
      <c r="E98">
        <v>927.85</v>
      </c>
      <c r="F98">
        <v>927.85</v>
      </c>
      <c r="G98">
        <v>523199</v>
      </c>
    </row>
    <row r="99" spans="1:7" x14ac:dyDescent="0.35">
      <c r="A99" s="40">
        <v>44194</v>
      </c>
      <c r="B99">
        <v>916.5</v>
      </c>
      <c r="C99">
        <v>936.8</v>
      </c>
      <c r="D99">
        <v>900</v>
      </c>
      <c r="E99">
        <v>921.05</v>
      </c>
      <c r="F99">
        <v>921.05</v>
      </c>
      <c r="G99">
        <v>1054986</v>
      </c>
    </row>
    <row r="100" spans="1:7" x14ac:dyDescent="0.35">
      <c r="A100" s="40">
        <v>44193</v>
      </c>
      <c r="B100">
        <v>916.2</v>
      </c>
      <c r="C100">
        <v>926.2</v>
      </c>
      <c r="D100">
        <v>906.25</v>
      </c>
      <c r="E100">
        <v>910.65</v>
      </c>
      <c r="F100">
        <v>910.65</v>
      </c>
      <c r="G100">
        <v>333961</v>
      </c>
    </row>
    <row r="101" spans="1:7" x14ac:dyDescent="0.35">
      <c r="A101" s="40">
        <v>44189</v>
      </c>
      <c r="B101">
        <v>918.25</v>
      </c>
      <c r="C101">
        <v>935</v>
      </c>
      <c r="D101">
        <v>900</v>
      </c>
      <c r="E101">
        <v>908</v>
      </c>
      <c r="F101">
        <v>908</v>
      </c>
      <c r="G101">
        <v>581414</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1C423-7909-4DAE-8351-C6E7333C7FAD}">
  <sheetPr codeName="Sheet8"/>
  <dimension ref="A1:C101"/>
  <sheetViews>
    <sheetView workbookViewId="0"/>
  </sheetViews>
  <sheetFormatPr defaultColWidth="8.83203125" defaultRowHeight="14.5" x14ac:dyDescent="0.35"/>
  <cols>
    <col min="1" max="1" width="10" customWidth="1"/>
    <col min="2" max="2" width="6.58203125" customWidth="1"/>
    <col min="3" max="3" width="15.33203125" customWidth="1"/>
  </cols>
  <sheetData>
    <row r="1" spans="1:3" x14ac:dyDescent="0.35">
      <c r="A1" t="s">
        <v>32</v>
      </c>
      <c r="B1" t="s">
        <v>2</v>
      </c>
      <c r="C1" t="s">
        <v>20</v>
      </c>
    </row>
    <row r="2" spans="1:3" x14ac:dyDescent="0.35">
      <c r="A2" s="40">
        <v>44340</v>
      </c>
      <c r="B2">
        <v>412.05</v>
      </c>
      <c r="C2">
        <v>1787.15</v>
      </c>
    </row>
    <row r="3" spans="1:3" x14ac:dyDescent="0.35">
      <c r="A3" s="40">
        <v>44337</v>
      </c>
      <c r="B3">
        <v>401.2</v>
      </c>
      <c r="C3">
        <v>1762.15</v>
      </c>
    </row>
    <row r="4" spans="1:3" x14ac:dyDescent="0.35">
      <c r="A4" s="40">
        <v>44336</v>
      </c>
      <c r="B4">
        <v>384.55</v>
      </c>
      <c r="C4">
        <v>1774.2</v>
      </c>
    </row>
    <row r="5" spans="1:3" x14ac:dyDescent="0.35">
      <c r="A5" s="40">
        <v>44335</v>
      </c>
      <c r="B5">
        <v>384.4</v>
      </c>
      <c r="C5">
        <v>1775.4</v>
      </c>
    </row>
    <row r="6" spans="1:3" x14ac:dyDescent="0.35">
      <c r="A6" s="40">
        <v>44334</v>
      </c>
      <c r="B6">
        <v>382.25</v>
      </c>
      <c r="C6">
        <v>1794.3</v>
      </c>
    </row>
    <row r="7" spans="1:3" x14ac:dyDescent="0.35">
      <c r="A7" s="40">
        <v>44333</v>
      </c>
      <c r="B7">
        <v>383.1</v>
      </c>
      <c r="C7">
        <v>1718.65</v>
      </c>
    </row>
    <row r="8" spans="1:3" x14ac:dyDescent="0.35">
      <c r="A8" s="40">
        <v>44330</v>
      </c>
      <c r="B8">
        <v>360.45</v>
      </c>
      <c r="C8">
        <v>1728.1</v>
      </c>
    </row>
    <row r="9" spans="1:3" x14ac:dyDescent="0.35">
      <c r="A9" s="40">
        <v>44328</v>
      </c>
      <c r="B9">
        <v>367.7</v>
      </c>
      <c r="C9">
        <v>1791.3</v>
      </c>
    </row>
    <row r="10" spans="1:3" x14ac:dyDescent="0.35">
      <c r="A10" s="40">
        <v>44327</v>
      </c>
      <c r="B10">
        <v>364.65</v>
      </c>
      <c r="C10">
        <v>1797.45</v>
      </c>
    </row>
    <row r="11" spans="1:3" x14ac:dyDescent="0.35">
      <c r="A11" s="40">
        <v>44326</v>
      </c>
      <c r="B11">
        <v>361.7</v>
      </c>
      <c r="C11">
        <v>1775.8</v>
      </c>
    </row>
    <row r="12" spans="1:3" x14ac:dyDescent="0.35">
      <c r="A12" s="40">
        <v>44323</v>
      </c>
      <c r="B12">
        <v>358.25</v>
      </c>
      <c r="C12">
        <v>1803.05</v>
      </c>
    </row>
    <row r="13" spans="1:3" x14ac:dyDescent="0.35">
      <c r="A13" s="40">
        <v>44322</v>
      </c>
      <c r="B13">
        <v>355.55</v>
      </c>
      <c r="C13">
        <v>1891.2</v>
      </c>
    </row>
    <row r="14" spans="1:3" x14ac:dyDescent="0.35">
      <c r="A14" s="40">
        <v>44321</v>
      </c>
      <c r="B14">
        <v>355.4</v>
      </c>
      <c r="C14">
        <v>1904</v>
      </c>
    </row>
    <row r="15" spans="1:3" x14ac:dyDescent="0.35">
      <c r="A15" s="40">
        <v>44320</v>
      </c>
      <c r="B15">
        <v>351.5</v>
      </c>
      <c r="C15">
        <v>1863.75</v>
      </c>
    </row>
    <row r="16" spans="1:3" x14ac:dyDescent="0.35">
      <c r="A16" s="40">
        <v>44319</v>
      </c>
      <c r="B16">
        <v>350.6</v>
      </c>
      <c r="C16">
        <v>1904.1</v>
      </c>
    </row>
    <row r="17" spans="1:3" x14ac:dyDescent="0.35">
      <c r="A17" s="40">
        <v>44316</v>
      </c>
      <c r="B17">
        <v>353.5</v>
      </c>
      <c r="C17">
        <v>1865.6</v>
      </c>
    </row>
    <row r="18" spans="1:3" x14ac:dyDescent="0.35">
      <c r="A18" s="40">
        <v>44315</v>
      </c>
      <c r="B18">
        <v>359.4</v>
      </c>
      <c r="C18">
        <v>1787.25</v>
      </c>
    </row>
    <row r="19" spans="1:3" x14ac:dyDescent="0.35">
      <c r="A19" s="40">
        <v>44314</v>
      </c>
      <c r="B19">
        <v>363.4</v>
      </c>
      <c r="C19">
        <v>1780.45</v>
      </c>
    </row>
    <row r="20" spans="1:3" x14ac:dyDescent="0.35">
      <c r="A20" s="40">
        <v>44313</v>
      </c>
      <c r="B20">
        <v>353.05</v>
      </c>
      <c r="C20">
        <v>1782.55</v>
      </c>
    </row>
    <row r="21" spans="1:3" x14ac:dyDescent="0.35">
      <c r="A21" s="40">
        <v>44312</v>
      </c>
      <c r="B21">
        <v>344.3</v>
      </c>
      <c r="C21">
        <v>1637.5</v>
      </c>
    </row>
    <row r="22" spans="1:3" x14ac:dyDescent="0.35">
      <c r="A22" s="40">
        <v>44309</v>
      </c>
      <c r="B22">
        <v>336.45</v>
      </c>
      <c r="C22">
        <v>1627.85</v>
      </c>
    </row>
    <row r="23" spans="1:3" x14ac:dyDescent="0.35">
      <c r="A23" s="40">
        <v>44308</v>
      </c>
      <c r="B23">
        <v>336.65</v>
      </c>
      <c r="C23">
        <v>1598.55</v>
      </c>
    </row>
    <row r="24" spans="1:3" x14ac:dyDescent="0.35">
      <c r="A24" s="40">
        <v>44306</v>
      </c>
      <c r="B24">
        <v>329.5</v>
      </c>
      <c r="C24">
        <v>1559.85</v>
      </c>
    </row>
    <row r="25" spans="1:3" x14ac:dyDescent="0.35">
      <c r="A25" s="40">
        <v>44305</v>
      </c>
      <c r="B25">
        <v>331.15</v>
      </c>
      <c r="C25">
        <v>1558.85</v>
      </c>
    </row>
    <row r="26" spans="1:3" x14ac:dyDescent="0.35">
      <c r="A26" s="40">
        <v>44302</v>
      </c>
      <c r="B26">
        <v>339.9</v>
      </c>
      <c r="C26">
        <v>1587.95</v>
      </c>
    </row>
    <row r="27" spans="1:3" x14ac:dyDescent="0.35">
      <c r="A27" s="40">
        <v>44301</v>
      </c>
      <c r="B27">
        <v>342.7</v>
      </c>
      <c r="C27">
        <v>1608.15</v>
      </c>
    </row>
    <row r="28" spans="1:3" x14ac:dyDescent="0.35">
      <c r="A28" s="40">
        <v>44299</v>
      </c>
      <c r="B28">
        <v>341</v>
      </c>
      <c r="C28">
        <v>1587.1</v>
      </c>
    </row>
    <row r="29" spans="1:3" x14ac:dyDescent="0.35">
      <c r="A29" s="40">
        <v>44298</v>
      </c>
      <c r="B29">
        <v>328.85</v>
      </c>
      <c r="C29">
        <v>1582.8</v>
      </c>
    </row>
    <row r="30" spans="1:3" x14ac:dyDescent="0.35">
      <c r="A30" s="40">
        <v>44295</v>
      </c>
      <c r="B30">
        <v>353</v>
      </c>
      <c r="C30">
        <v>1681.25</v>
      </c>
    </row>
    <row r="31" spans="1:3" x14ac:dyDescent="0.35">
      <c r="A31" s="40">
        <v>44294</v>
      </c>
      <c r="B31">
        <v>355.6</v>
      </c>
      <c r="C31">
        <v>1712.1</v>
      </c>
    </row>
    <row r="32" spans="1:3" x14ac:dyDescent="0.35">
      <c r="A32" s="40">
        <v>44293</v>
      </c>
      <c r="B32">
        <v>358.55</v>
      </c>
      <c r="C32">
        <v>1697.95</v>
      </c>
    </row>
    <row r="33" spans="1:3" x14ac:dyDescent="0.35">
      <c r="A33" s="40">
        <v>44292</v>
      </c>
      <c r="B33">
        <v>350.55</v>
      </c>
      <c r="C33">
        <v>1657.15</v>
      </c>
    </row>
    <row r="34" spans="1:3" x14ac:dyDescent="0.35">
      <c r="A34" s="40">
        <v>44291</v>
      </c>
      <c r="B34">
        <v>353.55</v>
      </c>
      <c r="C34">
        <v>1617.15</v>
      </c>
    </row>
    <row r="35" spans="1:3" x14ac:dyDescent="0.35">
      <c r="A35" s="40">
        <v>44287</v>
      </c>
      <c r="B35">
        <v>370.65</v>
      </c>
      <c r="C35">
        <v>1646.75</v>
      </c>
    </row>
    <row r="36" spans="1:3" x14ac:dyDescent="0.35">
      <c r="A36" s="40">
        <v>44286</v>
      </c>
      <c r="B36">
        <v>364.3</v>
      </c>
      <c r="C36">
        <v>1656.5</v>
      </c>
    </row>
    <row r="37" spans="1:3" x14ac:dyDescent="0.35">
      <c r="A37" s="40">
        <v>44285</v>
      </c>
      <c r="B37">
        <v>360.8</v>
      </c>
      <c r="C37">
        <v>1626.1</v>
      </c>
    </row>
    <row r="38" spans="1:3" x14ac:dyDescent="0.35">
      <c r="A38" s="40">
        <v>44281</v>
      </c>
      <c r="B38">
        <v>357.2</v>
      </c>
      <c r="C38">
        <v>1561</v>
      </c>
    </row>
    <row r="39" spans="1:3" x14ac:dyDescent="0.35">
      <c r="A39" s="40">
        <v>44280</v>
      </c>
      <c r="B39">
        <v>355.2</v>
      </c>
      <c r="C39">
        <v>1534.15</v>
      </c>
    </row>
    <row r="40" spans="1:3" x14ac:dyDescent="0.35">
      <c r="A40" s="40">
        <v>44279</v>
      </c>
      <c r="B40">
        <v>359.85</v>
      </c>
      <c r="C40">
        <v>1538.5</v>
      </c>
    </row>
    <row r="41" spans="1:3" x14ac:dyDescent="0.35">
      <c r="A41" s="40">
        <v>44278</v>
      </c>
      <c r="B41">
        <v>372.7</v>
      </c>
      <c r="C41">
        <v>1580.2</v>
      </c>
    </row>
    <row r="42" spans="1:3" x14ac:dyDescent="0.35">
      <c r="A42" s="40">
        <v>44277</v>
      </c>
      <c r="B42">
        <v>367</v>
      </c>
      <c r="C42">
        <v>1530.5</v>
      </c>
    </row>
    <row r="43" spans="1:3" x14ac:dyDescent="0.35">
      <c r="A43" s="40">
        <v>44274</v>
      </c>
      <c r="B43">
        <v>371.15</v>
      </c>
      <c r="C43">
        <v>1514.65</v>
      </c>
    </row>
    <row r="44" spans="1:3" x14ac:dyDescent="0.35">
      <c r="A44" s="40">
        <v>44273</v>
      </c>
      <c r="B44">
        <v>367.1</v>
      </c>
      <c r="C44">
        <v>1484.35</v>
      </c>
    </row>
    <row r="45" spans="1:3" x14ac:dyDescent="0.35">
      <c r="A45" s="40">
        <v>44272</v>
      </c>
      <c r="B45">
        <v>368.15</v>
      </c>
      <c r="C45">
        <v>1523.4</v>
      </c>
    </row>
    <row r="46" spans="1:3" x14ac:dyDescent="0.35">
      <c r="A46" s="40">
        <v>44271</v>
      </c>
      <c r="B46">
        <v>378.55</v>
      </c>
      <c r="C46">
        <v>1570.9</v>
      </c>
    </row>
    <row r="47" spans="1:3" x14ac:dyDescent="0.35">
      <c r="A47" s="40">
        <v>44270</v>
      </c>
      <c r="B47">
        <v>383.9</v>
      </c>
      <c r="C47">
        <v>1553.15</v>
      </c>
    </row>
    <row r="48" spans="1:3" x14ac:dyDescent="0.35">
      <c r="A48" s="40">
        <v>44267</v>
      </c>
      <c r="B48">
        <v>381.1</v>
      </c>
      <c r="C48">
        <v>1573.95</v>
      </c>
    </row>
    <row r="49" spans="1:3" x14ac:dyDescent="0.35">
      <c r="A49" s="40">
        <v>44265</v>
      </c>
      <c r="B49">
        <v>387.7</v>
      </c>
      <c r="C49">
        <v>1599.3</v>
      </c>
    </row>
    <row r="50" spans="1:3" x14ac:dyDescent="0.35">
      <c r="A50" s="40">
        <v>44264</v>
      </c>
      <c r="B50">
        <v>387.6</v>
      </c>
      <c r="C50">
        <v>1537.25</v>
      </c>
    </row>
    <row r="51" spans="1:3" x14ac:dyDescent="0.35">
      <c r="A51" s="40">
        <v>44263</v>
      </c>
      <c r="B51">
        <v>389.6</v>
      </c>
      <c r="C51">
        <v>1566.45</v>
      </c>
    </row>
    <row r="52" spans="1:3" x14ac:dyDescent="0.35">
      <c r="A52" s="40">
        <v>44260</v>
      </c>
      <c r="B52">
        <v>383.65</v>
      </c>
      <c r="C52">
        <v>1581.8</v>
      </c>
    </row>
    <row r="53" spans="1:3" x14ac:dyDescent="0.35">
      <c r="A53" s="40">
        <v>44259</v>
      </c>
      <c r="B53">
        <v>395.65</v>
      </c>
      <c r="C53">
        <v>1612.4</v>
      </c>
    </row>
    <row r="54" spans="1:3" x14ac:dyDescent="0.35">
      <c r="A54" s="40">
        <v>44258</v>
      </c>
      <c r="B54">
        <v>405.05</v>
      </c>
      <c r="C54">
        <v>1602.15</v>
      </c>
    </row>
    <row r="55" spans="1:3" x14ac:dyDescent="0.35">
      <c r="A55" s="40">
        <v>44257</v>
      </c>
      <c r="B55">
        <v>394.2</v>
      </c>
      <c r="C55">
        <v>1607.85</v>
      </c>
    </row>
    <row r="56" spans="1:3" x14ac:dyDescent="0.35">
      <c r="A56" s="40">
        <v>44256</v>
      </c>
      <c r="B56">
        <v>394.95</v>
      </c>
      <c r="C56">
        <v>1563.75</v>
      </c>
    </row>
    <row r="57" spans="1:3" x14ac:dyDescent="0.35">
      <c r="A57" s="40">
        <v>44253</v>
      </c>
      <c r="B57">
        <v>390.15</v>
      </c>
      <c r="C57">
        <v>1368.65</v>
      </c>
    </row>
    <row r="58" spans="1:3" x14ac:dyDescent="0.35">
      <c r="A58" s="40">
        <v>44252</v>
      </c>
      <c r="B58">
        <v>407.25</v>
      </c>
      <c r="C58">
        <v>1395.9</v>
      </c>
    </row>
    <row r="59" spans="1:3" x14ac:dyDescent="0.35">
      <c r="A59" s="40">
        <v>44251</v>
      </c>
      <c r="B59">
        <v>406.25</v>
      </c>
      <c r="C59">
        <v>1318.65</v>
      </c>
    </row>
    <row r="60" spans="1:3" x14ac:dyDescent="0.35">
      <c r="A60" s="40">
        <v>44250</v>
      </c>
      <c r="B60">
        <v>395.6</v>
      </c>
      <c r="C60">
        <v>1286.55</v>
      </c>
    </row>
    <row r="61" spans="1:3" x14ac:dyDescent="0.35">
      <c r="A61" s="40">
        <v>44249</v>
      </c>
      <c r="B61">
        <v>389.5</v>
      </c>
      <c r="C61">
        <v>1265.8</v>
      </c>
    </row>
    <row r="62" spans="1:3" x14ac:dyDescent="0.35">
      <c r="A62" s="40">
        <v>44246</v>
      </c>
      <c r="B62">
        <v>399.55</v>
      </c>
      <c r="C62">
        <v>1280.05</v>
      </c>
    </row>
    <row r="63" spans="1:3" x14ac:dyDescent="0.35">
      <c r="A63" s="40">
        <v>44245</v>
      </c>
      <c r="B63">
        <v>415.2</v>
      </c>
      <c r="C63">
        <v>1313.75</v>
      </c>
    </row>
    <row r="64" spans="1:3" x14ac:dyDescent="0.35">
      <c r="A64" s="40">
        <v>44244</v>
      </c>
      <c r="B64">
        <v>411.75</v>
      </c>
      <c r="C64">
        <v>1301.05</v>
      </c>
    </row>
    <row r="65" spans="1:3" x14ac:dyDescent="0.35">
      <c r="A65" s="40">
        <v>44243</v>
      </c>
      <c r="B65">
        <v>402.35</v>
      </c>
      <c r="C65">
        <v>1273.8</v>
      </c>
    </row>
    <row r="66" spans="1:3" x14ac:dyDescent="0.35">
      <c r="A66" s="40">
        <v>44242</v>
      </c>
      <c r="B66">
        <v>406.95</v>
      </c>
      <c r="C66">
        <v>1178.8</v>
      </c>
    </row>
    <row r="67" spans="1:3" x14ac:dyDescent="0.35">
      <c r="A67" s="40">
        <v>44239</v>
      </c>
      <c r="B67">
        <v>393.15</v>
      </c>
      <c r="C67">
        <v>1110.6500000000001</v>
      </c>
    </row>
    <row r="68" spans="1:3" x14ac:dyDescent="0.35">
      <c r="A68" s="40">
        <v>44238</v>
      </c>
      <c r="B68">
        <v>390.15</v>
      </c>
      <c r="C68">
        <v>1129.45</v>
      </c>
    </row>
    <row r="69" spans="1:3" x14ac:dyDescent="0.35">
      <c r="A69" s="40">
        <v>44237</v>
      </c>
      <c r="B69">
        <v>392.25</v>
      </c>
      <c r="C69">
        <v>1071.3499999999999</v>
      </c>
    </row>
    <row r="70" spans="1:3" x14ac:dyDescent="0.35">
      <c r="A70" s="40">
        <v>44236</v>
      </c>
      <c r="B70">
        <v>394.8</v>
      </c>
      <c r="C70">
        <v>1038.25</v>
      </c>
    </row>
    <row r="71" spans="1:3" x14ac:dyDescent="0.35">
      <c r="A71" s="40">
        <v>44235</v>
      </c>
      <c r="B71">
        <v>397.05</v>
      </c>
      <c r="C71">
        <v>1028.45</v>
      </c>
    </row>
    <row r="72" spans="1:3" x14ac:dyDescent="0.35">
      <c r="A72" s="40">
        <v>44232</v>
      </c>
      <c r="B72">
        <v>393.1</v>
      </c>
      <c r="C72">
        <v>1012.65</v>
      </c>
    </row>
    <row r="73" spans="1:3" x14ac:dyDescent="0.35">
      <c r="A73" s="40">
        <v>44231</v>
      </c>
      <c r="B73">
        <v>355.1</v>
      </c>
      <c r="C73">
        <v>1026.25</v>
      </c>
    </row>
    <row r="74" spans="1:3" x14ac:dyDescent="0.35">
      <c r="A74" s="40">
        <v>44230</v>
      </c>
      <c r="B74">
        <v>335.95</v>
      </c>
      <c r="C74">
        <v>1049.8</v>
      </c>
    </row>
    <row r="75" spans="1:3" x14ac:dyDescent="0.35">
      <c r="A75" s="40">
        <v>44229</v>
      </c>
      <c r="B75">
        <v>333.1</v>
      </c>
      <c r="C75">
        <v>981.55</v>
      </c>
    </row>
    <row r="76" spans="1:3" x14ac:dyDescent="0.35">
      <c r="A76" s="40">
        <v>44228</v>
      </c>
      <c r="B76">
        <v>310.7</v>
      </c>
      <c r="C76">
        <v>990.45</v>
      </c>
    </row>
    <row r="77" spans="1:3" x14ac:dyDescent="0.35">
      <c r="A77" s="40">
        <v>44225</v>
      </c>
      <c r="B77">
        <v>282.10000000000002</v>
      </c>
      <c r="C77">
        <v>971.55</v>
      </c>
    </row>
    <row r="78" spans="1:3" x14ac:dyDescent="0.35">
      <c r="A78" s="40">
        <v>44224</v>
      </c>
      <c r="B78">
        <v>282.35000000000002</v>
      </c>
      <c r="C78">
        <v>973</v>
      </c>
    </row>
    <row r="79" spans="1:3" x14ac:dyDescent="0.35">
      <c r="A79" s="40">
        <v>44223</v>
      </c>
      <c r="B79">
        <v>275.64999999999998</v>
      </c>
      <c r="C79">
        <v>966.5</v>
      </c>
    </row>
    <row r="80" spans="1:3" x14ac:dyDescent="0.35">
      <c r="A80" s="40">
        <v>44221</v>
      </c>
      <c r="B80">
        <v>280.95</v>
      </c>
      <c r="C80">
        <v>986.2</v>
      </c>
    </row>
    <row r="81" spans="1:3" x14ac:dyDescent="0.35">
      <c r="A81" s="40">
        <v>44218</v>
      </c>
      <c r="B81">
        <v>283.7</v>
      </c>
      <c r="C81">
        <v>1001</v>
      </c>
    </row>
    <row r="82" spans="1:3" x14ac:dyDescent="0.35">
      <c r="A82" s="40">
        <v>44217</v>
      </c>
      <c r="B82">
        <v>294.85000000000002</v>
      </c>
      <c r="C82">
        <v>1013.15</v>
      </c>
    </row>
    <row r="83" spans="1:3" x14ac:dyDescent="0.35">
      <c r="A83" s="40">
        <v>44216</v>
      </c>
      <c r="B83">
        <v>302.55</v>
      </c>
      <c r="C83">
        <v>1009.3</v>
      </c>
    </row>
    <row r="84" spans="1:3" x14ac:dyDescent="0.35">
      <c r="A84" s="40">
        <v>44215</v>
      </c>
      <c r="B84">
        <v>298.60000000000002</v>
      </c>
      <c r="C84">
        <v>1014.5</v>
      </c>
    </row>
    <row r="85" spans="1:3" x14ac:dyDescent="0.35">
      <c r="A85" s="40">
        <v>44214</v>
      </c>
      <c r="B85">
        <v>294.45</v>
      </c>
      <c r="C85">
        <v>1011.6</v>
      </c>
    </row>
    <row r="86" spans="1:3" x14ac:dyDescent="0.35">
      <c r="A86" s="40">
        <v>44211</v>
      </c>
      <c r="B86">
        <v>303.85000000000002</v>
      </c>
      <c r="C86">
        <v>1022.2</v>
      </c>
    </row>
    <row r="87" spans="1:3" x14ac:dyDescent="0.35">
      <c r="A87" s="40">
        <v>44210</v>
      </c>
      <c r="B87">
        <v>307.25</v>
      </c>
      <c r="C87">
        <v>1035.5999999999999</v>
      </c>
    </row>
    <row r="88" spans="1:3" x14ac:dyDescent="0.35">
      <c r="A88" s="40">
        <v>44209</v>
      </c>
      <c r="B88">
        <v>306.8</v>
      </c>
      <c r="C88">
        <v>1027.5</v>
      </c>
    </row>
    <row r="89" spans="1:3" x14ac:dyDescent="0.35">
      <c r="A89" s="40">
        <v>44208</v>
      </c>
      <c r="B89">
        <v>292.5</v>
      </c>
      <c r="C89">
        <v>1028.2</v>
      </c>
    </row>
    <row r="90" spans="1:3" x14ac:dyDescent="0.35">
      <c r="A90" s="40">
        <v>44207</v>
      </c>
      <c r="B90">
        <v>282.5</v>
      </c>
      <c r="C90">
        <v>1028.1500000000001</v>
      </c>
    </row>
    <row r="91" spans="1:3" x14ac:dyDescent="0.35">
      <c r="A91" s="40">
        <v>44204</v>
      </c>
      <c r="B91">
        <v>286</v>
      </c>
      <c r="C91">
        <v>1054.6500000000001</v>
      </c>
    </row>
    <row r="92" spans="1:3" x14ac:dyDescent="0.35">
      <c r="A92" s="40">
        <v>44203</v>
      </c>
      <c r="B92">
        <v>287.7</v>
      </c>
      <c r="C92">
        <v>1059.5</v>
      </c>
    </row>
    <row r="93" spans="1:3" x14ac:dyDescent="0.35">
      <c r="A93" s="40">
        <v>44202</v>
      </c>
      <c r="B93">
        <v>285.05</v>
      </c>
      <c r="C93">
        <v>1033.0999999999999</v>
      </c>
    </row>
    <row r="94" spans="1:3" x14ac:dyDescent="0.35">
      <c r="A94" s="40">
        <v>44201</v>
      </c>
      <c r="B94">
        <v>281.75</v>
      </c>
      <c r="C94">
        <v>1013.7</v>
      </c>
    </row>
    <row r="95" spans="1:3" x14ac:dyDescent="0.35">
      <c r="A95" s="40">
        <v>44200</v>
      </c>
      <c r="B95">
        <v>281.05</v>
      </c>
      <c r="C95">
        <v>1034.05</v>
      </c>
    </row>
    <row r="96" spans="1:3" x14ac:dyDescent="0.35">
      <c r="A96" s="40">
        <v>44197</v>
      </c>
      <c r="B96">
        <v>279.39999999999998</v>
      </c>
      <c r="C96">
        <v>987.85</v>
      </c>
    </row>
    <row r="97" spans="1:3" x14ac:dyDescent="0.35">
      <c r="A97" s="40">
        <v>44196</v>
      </c>
      <c r="B97">
        <v>274.95</v>
      </c>
      <c r="C97">
        <v>941.85</v>
      </c>
    </row>
    <row r="98" spans="1:3" x14ac:dyDescent="0.35">
      <c r="A98" s="40">
        <v>44195</v>
      </c>
      <c r="B98">
        <v>276.89999999999998</v>
      </c>
      <c r="C98">
        <v>927.85</v>
      </c>
    </row>
    <row r="99" spans="1:3" x14ac:dyDescent="0.35">
      <c r="A99" s="40">
        <v>44194</v>
      </c>
      <c r="B99">
        <v>277.89999999999998</v>
      </c>
      <c r="C99">
        <v>921.05</v>
      </c>
    </row>
    <row r="100" spans="1:3" x14ac:dyDescent="0.35">
      <c r="A100" s="40">
        <v>44193</v>
      </c>
      <c r="B100">
        <v>275.2</v>
      </c>
      <c r="C100">
        <v>910.65</v>
      </c>
    </row>
    <row r="101" spans="1:3" x14ac:dyDescent="0.35">
      <c r="A101" s="40">
        <v>44189</v>
      </c>
      <c r="B101">
        <v>266.85000000000002</v>
      </c>
      <c r="C101">
        <v>908</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4D1C6-7DBB-43DE-AB3E-7C3D0D5FED73}">
  <sheetPr codeName="Sheet9"/>
  <dimension ref="A1:G101"/>
  <sheetViews>
    <sheetView workbookViewId="0"/>
  </sheetViews>
  <sheetFormatPr defaultColWidth="8.83203125" defaultRowHeight="14.5" x14ac:dyDescent="0.35"/>
  <cols>
    <col min="1" max="1" width="10" customWidth="1"/>
    <col min="2" max="2" width="7.5" customWidth="1"/>
    <col min="3" max="4" width="6.58203125" customWidth="1"/>
    <col min="5" max="5" width="8.5" customWidth="1"/>
    <col min="6" max="6" width="13" customWidth="1"/>
    <col min="7" max="7" width="9.5" customWidth="1"/>
  </cols>
  <sheetData>
    <row r="1" spans="1:7" x14ac:dyDescent="0.35">
      <c r="A1" t="s">
        <v>32</v>
      </c>
      <c r="B1" t="s">
        <v>33</v>
      </c>
      <c r="C1" t="s">
        <v>34</v>
      </c>
      <c r="D1" t="s">
        <v>35</v>
      </c>
      <c r="E1" t="s">
        <v>36</v>
      </c>
      <c r="F1" t="s">
        <v>37</v>
      </c>
      <c r="G1" t="s">
        <v>38</v>
      </c>
    </row>
    <row r="2" spans="1:7" x14ac:dyDescent="0.35">
      <c r="A2" s="40">
        <v>44340</v>
      </c>
      <c r="B2">
        <v>401.95</v>
      </c>
      <c r="C2">
        <v>404.25</v>
      </c>
      <c r="D2">
        <v>392</v>
      </c>
      <c r="E2">
        <v>397.85</v>
      </c>
      <c r="F2">
        <v>397.85</v>
      </c>
      <c r="G2">
        <v>10877548</v>
      </c>
    </row>
    <row r="3" spans="1:7" x14ac:dyDescent="0.35">
      <c r="A3" s="40">
        <v>44337</v>
      </c>
      <c r="B3">
        <v>405.8</v>
      </c>
      <c r="C3">
        <v>412.5</v>
      </c>
      <c r="D3">
        <v>401</v>
      </c>
      <c r="E3">
        <v>403.15</v>
      </c>
      <c r="F3">
        <v>403.15</v>
      </c>
      <c r="G3">
        <v>10623656</v>
      </c>
    </row>
    <row r="4" spans="1:7" x14ac:dyDescent="0.35">
      <c r="A4" s="40">
        <v>44336</v>
      </c>
      <c r="B4">
        <v>408.5</v>
      </c>
      <c r="C4">
        <v>418.25</v>
      </c>
      <c r="D4">
        <v>390</v>
      </c>
      <c r="E4">
        <v>401.05</v>
      </c>
      <c r="F4">
        <v>401.05</v>
      </c>
      <c r="G4">
        <v>35292844</v>
      </c>
    </row>
    <row r="5" spans="1:7" x14ac:dyDescent="0.35">
      <c r="A5" s="40">
        <v>44335</v>
      </c>
      <c r="B5">
        <v>433.95</v>
      </c>
      <c r="C5">
        <v>440.45</v>
      </c>
      <c r="D5">
        <v>420.3</v>
      </c>
      <c r="E5">
        <v>421.85</v>
      </c>
      <c r="F5">
        <v>421.85</v>
      </c>
      <c r="G5">
        <v>12763170</v>
      </c>
    </row>
    <row r="6" spans="1:7" x14ac:dyDescent="0.35">
      <c r="A6" s="40">
        <v>44334</v>
      </c>
      <c r="B6">
        <v>445</v>
      </c>
      <c r="C6">
        <v>456.3</v>
      </c>
      <c r="D6">
        <v>434.8</v>
      </c>
      <c r="E6">
        <v>439.4</v>
      </c>
      <c r="F6">
        <v>439.4</v>
      </c>
      <c r="G6">
        <v>16216804</v>
      </c>
    </row>
    <row r="7" spans="1:7" x14ac:dyDescent="0.35">
      <c r="A7" s="40">
        <v>44333</v>
      </c>
      <c r="B7">
        <v>421</v>
      </c>
      <c r="C7">
        <v>440.65</v>
      </c>
      <c r="D7">
        <v>412.25</v>
      </c>
      <c r="E7">
        <v>435.5</v>
      </c>
      <c r="F7">
        <v>435.5</v>
      </c>
      <c r="G7">
        <v>21659972</v>
      </c>
    </row>
    <row r="8" spans="1:7" x14ac:dyDescent="0.35">
      <c r="A8" s="40">
        <v>44330</v>
      </c>
      <c r="B8">
        <v>462</v>
      </c>
      <c r="C8">
        <v>462</v>
      </c>
      <c r="D8">
        <v>388.55</v>
      </c>
      <c r="E8">
        <v>417.3</v>
      </c>
      <c r="F8">
        <v>417.3</v>
      </c>
      <c r="G8">
        <v>53810900</v>
      </c>
    </row>
    <row r="9" spans="1:7" x14ac:dyDescent="0.35">
      <c r="A9" s="40">
        <v>44328</v>
      </c>
      <c r="B9">
        <v>479.9</v>
      </c>
      <c r="C9">
        <v>482.4</v>
      </c>
      <c r="D9">
        <v>445.25</v>
      </c>
      <c r="E9">
        <v>456.6</v>
      </c>
      <c r="F9">
        <v>456.6</v>
      </c>
      <c r="G9">
        <v>12104730</v>
      </c>
    </row>
    <row r="10" spans="1:7" x14ac:dyDescent="0.35">
      <c r="A10" s="40">
        <v>44327</v>
      </c>
      <c r="B10">
        <v>481</v>
      </c>
      <c r="C10">
        <v>486.4</v>
      </c>
      <c r="D10">
        <v>468.45</v>
      </c>
      <c r="E10">
        <v>476.2</v>
      </c>
      <c r="F10">
        <v>476.2</v>
      </c>
      <c r="G10">
        <v>14239603</v>
      </c>
    </row>
    <row r="11" spans="1:7" x14ac:dyDescent="0.35">
      <c r="A11" s="40">
        <v>44326</v>
      </c>
      <c r="B11">
        <v>488.95</v>
      </c>
      <c r="C11">
        <v>501.7</v>
      </c>
      <c r="D11">
        <v>487</v>
      </c>
      <c r="E11">
        <v>490.2</v>
      </c>
      <c r="F11">
        <v>490.2</v>
      </c>
      <c r="G11">
        <v>12543953</v>
      </c>
    </row>
    <row r="12" spans="1:7" x14ac:dyDescent="0.35">
      <c r="A12" s="40">
        <v>44323</v>
      </c>
      <c r="B12">
        <v>465.1</v>
      </c>
      <c r="C12">
        <v>485</v>
      </c>
      <c r="D12">
        <v>463.65</v>
      </c>
      <c r="E12">
        <v>479.9</v>
      </c>
      <c r="F12">
        <v>479.9</v>
      </c>
      <c r="G12">
        <v>17370389</v>
      </c>
    </row>
    <row r="13" spans="1:7" x14ac:dyDescent="0.35">
      <c r="A13" s="40">
        <v>44322</v>
      </c>
      <c r="B13">
        <v>441</v>
      </c>
      <c r="C13">
        <v>462.1</v>
      </c>
      <c r="D13">
        <v>439</v>
      </c>
      <c r="E13">
        <v>458.9</v>
      </c>
      <c r="F13">
        <v>458.9</v>
      </c>
      <c r="G13">
        <v>16058047</v>
      </c>
    </row>
    <row r="14" spans="1:7" x14ac:dyDescent="0.35">
      <c r="A14" s="40">
        <v>44321</v>
      </c>
      <c r="B14">
        <v>439.9</v>
      </c>
      <c r="C14">
        <v>443</v>
      </c>
      <c r="D14">
        <v>433.2</v>
      </c>
      <c r="E14">
        <v>439.4</v>
      </c>
      <c r="F14">
        <v>439.4</v>
      </c>
      <c r="G14">
        <v>7379545</v>
      </c>
    </row>
    <row r="15" spans="1:7" x14ac:dyDescent="0.35">
      <c r="A15" s="40">
        <v>44320</v>
      </c>
      <c r="B15">
        <v>450</v>
      </c>
      <c r="C15">
        <v>453.8</v>
      </c>
      <c r="D15">
        <v>433.5</v>
      </c>
      <c r="E15">
        <v>435.75</v>
      </c>
      <c r="F15">
        <v>435.75</v>
      </c>
      <c r="G15">
        <v>11563827</v>
      </c>
    </row>
    <row r="16" spans="1:7" x14ac:dyDescent="0.35">
      <c r="A16" s="40">
        <v>44319</v>
      </c>
      <c r="B16">
        <v>438</v>
      </c>
      <c r="C16">
        <v>451.75</v>
      </c>
      <c r="D16">
        <v>434.2</v>
      </c>
      <c r="E16">
        <v>445.3</v>
      </c>
      <c r="F16">
        <v>445.3</v>
      </c>
      <c r="G16">
        <v>12397053</v>
      </c>
    </row>
    <row r="17" spans="1:7" x14ac:dyDescent="0.35">
      <c r="A17" s="40">
        <v>44316</v>
      </c>
      <c r="B17">
        <v>447.4</v>
      </c>
      <c r="C17">
        <v>455.85</v>
      </c>
      <c r="D17">
        <v>432.4</v>
      </c>
      <c r="E17">
        <v>441.5</v>
      </c>
      <c r="F17">
        <v>441.5</v>
      </c>
      <c r="G17">
        <v>16715876</v>
      </c>
    </row>
    <row r="18" spans="1:7" x14ac:dyDescent="0.35">
      <c r="A18" s="40">
        <v>44315</v>
      </c>
      <c r="B18">
        <v>449</v>
      </c>
      <c r="C18">
        <v>459.25</v>
      </c>
      <c r="D18">
        <v>442.3</v>
      </c>
      <c r="E18">
        <v>454.25</v>
      </c>
      <c r="F18">
        <v>454.25</v>
      </c>
      <c r="G18">
        <v>20739925</v>
      </c>
    </row>
    <row r="19" spans="1:7" x14ac:dyDescent="0.35">
      <c r="A19" s="40">
        <v>44314</v>
      </c>
      <c r="B19">
        <v>453.8</v>
      </c>
      <c r="C19">
        <v>453.95</v>
      </c>
      <c r="D19">
        <v>436.05</v>
      </c>
      <c r="E19">
        <v>443.6</v>
      </c>
      <c r="F19">
        <v>443.6</v>
      </c>
      <c r="G19">
        <v>15697777</v>
      </c>
    </row>
    <row r="20" spans="1:7" x14ac:dyDescent="0.35">
      <c r="A20" s="40">
        <v>44313</v>
      </c>
      <c r="B20">
        <v>445</v>
      </c>
      <c r="C20">
        <v>456</v>
      </c>
      <c r="D20">
        <v>436.65</v>
      </c>
      <c r="E20">
        <v>449.9</v>
      </c>
      <c r="F20">
        <v>449.9</v>
      </c>
      <c r="G20">
        <v>17708967</v>
      </c>
    </row>
    <row r="21" spans="1:7" x14ac:dyDescent="0.35">
      <c r="A21" s="40">
        <v>44312</v>
      </c>
      <c r="B21">
        <v>441</v>
      </c>
      <c r="C21">
        <v>451.4</v>
      </c>
      <c r="D21">
        <v>438.65</v>
      </c>
      <c r="E21">
        <v>442.95</v>
      </c>
      <c r="F21">
        <v>442.95</v>
      </c>
      <c r="G21">
        <v>12314848</v>
      </c>
    </row>
    <row r="22" spans="1:7" x14ac:dyDescent="0.35">
      <c r="A22" s="40">
        <v>44309</v>
      </c>
      <c r="B22">
        <v>444.9</v>
      </c>
      <c r="C22">
        <v>449.5</v>
      </c>
      <c r="D22">
        <v>431.25</v>
      </c>
      <c r="E22">
        <v>437.05</v>
      </c>
      <c r="F22">
        <v>437.05</v>
      </c>
      <c r="G22">
        <v>15212228</v>
      </c>
    </row>
    <row r="23" spans="1:7" x14ac:dyDescent="0.35">
      <c r="A23" s="40">
        <v>44308</v>
      </c>
      <c r="B23">
        <v>431.3</v>
      </c>
      <c r="C23">
        <v>446</v>
      </c>
      <c r="D23">
        <v>428.1</v>
      </c>
      <c r="E23">
        <v>441.6</v>
      </c>
      <c r="F23">
        <v>441.6</v>
      </c>
      <c r="G23">
        <v>16382110</v>
      </c>
    </row>
    <row r="24" spans="1:7" x14ac:dyDescent="0.35">
      <c r="A24" s="40">
        <v>44306</v>
      </c>
      <c r="B24">
        <v>419</v>
      </c>
      <c r="C24">
        <v>436.9</v>
      </c>
      <c r="D24">
        <v>418</v>
      </c>
      <c r="E24">
        <v>431.55</v>
      </c>
      <c r="F24">
        <v>431.55</v>
      </c>
      <c r="G24">
        <v>19220825</v>
      </c>
    </row>
    <row r="25" spans="1:7" x14ac:dyDescent="0.35">
      <c r="A25" s="40">
        <v>44305</v>
      </c>
      <c r="B25">
        <v>403</v>
      </c>
      <c r="C25">
        <v>418.7</v>
      </c>
      <c r="D25">
        <v>398.1</v>
      </c>
      <c r="E25">
        <v>413.8</v>
      </c>
      <c r="F25">
        <v>413.8</v>
      </c>
      <c r="G25">
        <v>10772613</v>
      </c>
    </row>
    <row r="26" spans="1:7" x14ac:dyDescent="0.35">
      <c r="A26" s="40">
        <v>44302</v>
      </c>
      <c r="B26">
        <v>416.7</v>
      </c>
      <c r="C26">
        <v>424.7</v>
      </c>
      <c r="D26">
        <v>411.6</v>
      </c>
      <c r="E26">
        <v>414</v>
      </c>
      <c r="F26">
        <v>414</v>
      </c>
      <c r="G26">
        <v>9209394</v>
      </c>
    </row>
    <row r="27" spans="1:7" x14ac:dyDescent="0.35">
      <c r="A27" s="40">
        <v>44301</v>
      </c>
      <c r="B27">
        <v>413.85</v>
      </c>
      <c r="C27">
        <v>422.95</v>
      </c>
      <c r="D27">
        <v>403</v>
      </c>
      <c r="E27">
        <v>414.3</v>
      </c>
      <c r="F27">
        <v>414.3</v>
      </c>
      <c r="G27">
        <v>12092334</v>
      </c>
    </row>
    <row r="28" spans="1:7" x14ac:dyDescent="0.35">
      <c r="A28" s="40">
        <v>44299</v>
      </c>
      <c r="B28">
        <v>389</v>
      </c>
      <c r="C28">
        <v>411.65</v>
      </c>
      <c r="D28">
        <v>384.3</v>
      </c>
      <c r="E28">
        <v>409.45</v>
      </c>
      <c r="F28">
        <v>409.45</v>
      </c>
      <c r="G28">
        <v>12033319</v>
      </c>
    </row>
    <row r="29" spans="1:7" x14ac:dyDescent="0.35">
      <c r="A29" s="40">
        <v>44298</v>
      </c>
      <c r="B29">
        <v>404.9</v>
      </c>
      <c r="C29">
        <v>409.65</v>
      </c>
      <c r="D29">
        <v>386.15</v>
      </c>
      <c r="E29">
        <v>389</v>
      </c>
      <c r="F29">
        <v>389</v>
      </c>
      <c r="G29">
        <v>11886755</v>
      </c>
    </row>
    <row r="30" spans="1:7" x14ac:dyDescent="0.35">
      <c r="A30" s="40">
        <v>44295</v>
      </c>
      <c r="B30">
        <v>416</v>
      </c>
      <c r="C30">
        <v>426.25</v>
      </c>
      <c r="D30">
        <v>401.5</v>
      </c>
      <c r="E30">
        <v>412.35</v>
      </c>
      <c r="F30">
        <v>412.35</v>
      </c>
      <c r="G30">
        <v>14532585</v>
      </c>
    </row>
    <row r="31" spans="1:7" x14ac:dyDescent="0.35">
      <c r="A31" s="40">
        <v>44294</v>
      </c>
      <c r="B31">
        <v>393.5</v>
      </c>
      <c r="C31">
        <v>427.5</v>
      </c>
      <c r="D31">
        <v>391.4</v>
      </c>
      <c r="E31">
        <v>415.65</v>
      </c>
      <c r="F31">
        <v>415.65</v>
      </c>
      <c r="G31">
        <v>27365406</v>
      </c>
    </row>
    <row r="32" spans="1:7" x14ac:dyDescent="0.35">
      <c r="A32" s="40">
        <v>44293</v>
      </c>
      <c r="B32">
        <v>390.2</v>
      </c>
      <c r="C32">
        <v>394.9</v>
      </c>
      <c r="D32">
        <v>385.35</v>
      </c>
      <c r="E32">
        <v>388.8</v>
      </c>
      <c r="F32">
        <v>388.8</v>
      </c>
      <c r="G32">
        <v>10294775</v>
      </c>
    </row>
    <row r="33" spans="1:7" x14ac:dyDescent="0.35">
      <c r="A33" s="40">
        <v>44292</v>
      </c>
      <c r="B33">
        <v>392.2</v>
      </c>
      <c r="C33">
        <v>397</v>
      </c>
      <c r="D33">
        <v>384.4</v>
      </c>
      <c r="E33">
        <v>388.85</v>
      </c>
      <c r="F33">
        <v>388.85</v>
      </c>
      <c r="G33">
        <v>16986573</v>
      </c>
    </row>
    <row r="34" spans="1:7" x14ac:dyDescent="0.35">
      <c r="A34" s="40">
        <v>44291</v>
      </c>
      <c r="B34">
        <v>370.9</v>
      </c>
      <c r="C34">
        <v>386</v>
      </c>
      <c r="D34">
        <v>359.25</v>
      </c>
      <c r="E34">
        <v>382.85</v>
      </c>
      <c r="F34">
        <v>382.85</v>
      </c>
      <c r="G34">
        <v>11514234</v>
      </c>
    </row>
    <row r="35" spans="1:7" x14ac:dyDescent="0.35">
      <c r="A35" s="40">
        <v>44287</v>
      </c>
      <c r="B35">
        <v>346.4</v>
      </c>
      <c r="C35">
        <v>373.5</v>
      </c>
      <c r="D35">
        <v>346</v>
      </c>
      <c r="E35">
        <v>370.9</v>
      </c>
      <c r="F35">
        <v>370.9</v>
      </c>
      <c r="G35">
        <v>14147031</v>
      </c>
    </row>
    <row r="36" spans="1:7" x14ac:dyDescent="0.35">
      <c r="A36" s="40">
        <v>44286</v>
      </c>
      <c r="B36">
        <v>337</v>
      </c>
      <c r="C36">
        <v>347.5</v>
      </c>
      <c r="D36">
        <v>334</v>
      </c>
      <c r="E36">
        <v>343.6</v>
      </c>
      <c r="F36">
        <v>343.6</v>
      </c>
      <c r="G36">
        <v>6912102</v>
      </c>
    </row>
    <row r="37" spans="1:7" x14ac:dyDescent="0.35">
      <c r="A37" s="40">
        <v>44285</v>
      </c>
      <c r="B37">
        <v>329.6</v>
      </c>
      <c r="C37">
        <v>340.9</v>
      </c>
      <c r="D37">
        <v>328.2</v>
      </c>
      <c r="E37">
        <v>336.45</v>
      </c>
      <c r="F37">
        <v>336.45</v>
      </c>
      <c r="G37">
        <v>9379719</v>
      </c>
    </row>
    <row r="38" spans="1:7" x14ac:dyDescent="0.35">
      <c r="A38" s="40">
        <v>44281</v>
      </c>
      <c r="B38">
        <v>314.25</v>
      </c>
      <c r="C38">
        <v>327.8</v>
      </c>
      <c r="D38">
        <v>311</v>
      </c>
      <c r="E38">
        <v>324.2</v>
      </c>
      <c r="F38">
        <v>324.2</v>
      </c>
      <c r="G38">
        <v>9743664</v>
      </c>
    </row>
    <row r="39" spans="1:7" x14ac:dyDescent="0.35">
      <c r="A39" s="40">
        <v>44280</v>
      </c>
      <c r="B39">
        <v>306.5</v>
      </c>
      <c r="C39">
        <v>313.7</v>
      </c>
      <c r="D39">
        <v>297.25</v>
      </c>
      <c r="E39">
        <v>309.25</v>
      </c>
      <c r="F39">
        <v>309.25</v>
      </c>
      <c r="G39">
        <v>12384761</v>
      </c>
    </row>
    <row r="40" spans="1:7" x14ac:dyDescent="0.35">
      <c r="A40" s="40">
        <v>44279</v>
      </c>
      <c r="B40">
        <v>311</v>
      </c>
      <c r="C40">
        <v>315.89999999999998</v>
      </c>
      <c r="D40">
        <v>305</v>
      </c>
      <c r="E40">
        <v>306.89999999999998</v>
      </c>
      <c r="F40">
        <v>306.89999999999998</v>
      </c>
      <c r="G40">
        <v>7978045</v>
      </c>
    </row>
    <row r="41" spans="1:7" x14ac:dyDescent="0.35">
      <c r="A41" s="40">
        <v>44278</v>
      </c>
      <c r="B41">
        <v>322.05</v>
      </c>
      <c r="C41">
        <v>325.5</v>
      </c>
      <c r="D41">
        <v>313.64999999999998</v>
      </c>
      <c r="E41">
        <v>315.64999999999998</v>
      </c>
      <c r="F41">
        <v>315.64999999999998</v>
      </c>
      <c r="G41">
        <v>8085284</v>
      </c>
    </row>
    <row r="42" spans="1:7" x14ac:dyDescent="0.35">
      <c r="A42" s="40">
        <v>44277</v>
      </c>
      <c r="B42">
        <v>313</v>
      </c>
      <c r="C42">
        <v>323.8</v>
      </c>
      <c r="D42">
        <v>309</v>
      </c>
      <c r="E42">
        <v>320.95</v>
      </c>
      <c r="F42">
        <v>320.95</v>
      </c>
      <c r="G42">
        <v>7824327</v>
      </c>
    </row>
    <row r="43" spans="1:7" x14ac:dyDescent="0.35">
      <c r="A43" s="40">
        <v>44274</v>
      </c>
      <c r="B43">
        <v>306</v>
      </c>
      <c r="C43">
        <v>317</v>
      </c>
      <c r="D43">
        <v>296.7</v>
      </c>
      <c r="E43">
        <v>313.05</v>
      </c>
      <c r="F43">
        <v>313.05</v>
      </c>
      <c r="G43">
        <v>12819655</v>
      </c>
    </row>
    <row r="44" spans="1:7" x14ac:dyDescent="0.35">
      <c r="A44" s="40">
        <v>44273</v>
      </c>
      <c r="B44">
        <v>312.05</v>
      </c>
      <c r="C44">
        <v>318.60000000000002</v>
      </c>
      <c r="D44">
        <v>302.60000000000002</v>
      </c>
      <c r="E44">
        <v>309.35000000000002</v>
      </c>
      <c r="F44">
        <v>309.35000000000002</v>
      </c>
      <c r="G44">
        <v>6372698</v>
      </c>
    </row>
    <row r="45" spans="1:7" x14ac:dyDescent="0.35">
      <c r="A45" s="40">
        <v>44272</v>
      </c>
      <c r="B45">
        <v>320</v>
      </c>
      <c r="C45">
        <v>324.5</v>
      </c>
      <c r="D45">
        <v>305.60000000000002</v>
      </c>
      <c r="E45">
        <v>308.75</v>
      </c>
      <c r="F45">
        <v>308.75</v>
      </c>
      <c r="G45">
        <v>6430311</v>
      </c>
    </row>
    <row r="46" spans="1:7" x14ac:dyDescent="0.35">
      <c r="A46" s="40">
        <v>44271</v>
      </c>
      <c r="B46">
        <v>328</v>
      </c>
      <c r="C46">
        <v>328.9</v>
      </c>
      <c r="D46">
        <v>320</v>
      </c>
      <c r="E46">
        <v>323.55</v>
      </c>
      <c r="F46">
        <v>323.55</v>
      </c>
      <c r="G46">
        <v>4796079</v>
      </c>
    </row>
    <row r="47" spans="1:7" x14ac:dyDescent="0.35">
      <c r="A47" s="40">
        <v>44270</v>
      </c>
      <c r="B47">
        <v>320.45</v>
      </c>
      <c r="C47">
        <v>327.3</v>
      </c>
      <c r="D47">
        <v>315.8</v>
      </c>
      <c r="E47">
        <v>326.10000000000002</v>
      </c>
      <c r="F47">
        <v>326.10000000000002</v>
      </c>
      <c r="G47">
        <v>7642941</v>
      </c>
    </row>
    <row r="48" spans="1:7" x14ac:dyDescent="0.35">
      <c r="A48" s="40">
        <v>44267</v>
      </c>
      <c r="B48">
        <v>327</v>
      </c>
      <c r="C48">
        <v>332.5</v>
      </c>
      <c r="D48">
        <v>314</v>
      </c>
      <c r="E48">
        <v>317.64999999999998</v>
      </c>
      <c r="F48">
        <v>317.64999999999998</v>
      </c>
      <c r="G48">
        <v>8661309</v>
      </c>
    </row>
    <row r="49" spans="1:7" x14ac:dyDescent="0.35">
      <c r="A49" s="40">
        <v>44265</v>
      </c>
      <c r="B49">
        <v>315.45</v>
      </c>
      <c r="C49">
        <v>322.3</v>
      </c>
      <c r="D49">
        <v>311.39999999999998</v>
      </c>
      <c r="E49">
        <v>320.35000000000002</v>
      </c>
      <c r="F49">
        <v>320.35000000000002</v>
      </c>
      <c r="G49">
        <v>6903410</v>
      </c>
    </row>
    <row r="50" spans="1:7" x14ac:dyDescent="0.35">
      <c r="A50" s="40">
        <v>44264</v>
      </c>
      <c r="B50">
        <v>326.5</v>
      </c>
      <c r="C50">
        <v>329.6</v>
      </c>
      <c r="D50">
        <v>309.39999999999998</v>
      </c>
      <c r="E50">
        <v>312.85000000000002</v>
      </c>
      <c r="F50">
        <v>312.85000000000002</v>
      </c>
      <c r="G50">
        <v>8121292</v>
      </c>
    </row>
    <row r="51" spans="1:7" x14ac:dyDescent="0.35">
      <c r="A51" s="40">
        <v>44263</v>
      </c>
      <c r="B51">
        <v>325.60000000000002</v>
      </c>
      <c r="C51">
        <v>332.35</v>
      </c>
      <c r="D51">
        <v>322.25</v>
      </c>
      <c r="E51">
        <v>324.05</v>
      </c>
      <c r="F51">
        <v>324.05</v>
      </c>
      <c r="G51">
        <v>6022231</v>
      </c>
    </row>
    <row r="52" spans="1:7" x14ac:dyDescent="0.35">
      <c r="A52" s="40">
        <v>44260</v>
      </c>
      <c r="B52">
        <v>333.5</v>
      </c>
      <c r="C52">
        <v>333.65</v>
      </c>
      <c r="D52">
        <v>313.5</v>
      </c>
      <c r="E52">
        <v>322.35000000000002</v>
      </c>
      <c r="F52">
        <v>322.35000000000002</v>
      </c>
      <c r="G52">
        <v>13458441</v>
      </c>
    </row>
    <row r="53" spans="1:7" x14ac:dyDescent="0.35">
      <c r="A53" s="40">
        <v>44259</v>
      </c>
      <c r="B53">
        <v>338.65</v>
      </c>
      <c r="C53">
        <v>344</v>
      </c>
      <c r="D53">
        <v>335.2</v>
      </c>
      <c r="E53">
        <v>336.55</v>
      </c>
      <c r="F53">
        <v>336.55</v>
      </c>
      <c r="G53">
        <v>8664486</v>
      </c>
    </row>
    <row r="54" spans="1:7" x14ac:dyDescent="0.35">
      <c r="A54" s="40">
        <v>44258</v>
      </c>
      <c r="B54">
        <v>341.35</v>
      </c>
      <c r="C54">
        <v>354.8</v>
      </c>
      <c r="D54">
        <v>341</v>
      </c>
      <c r="E54">
        <v>349.55</v>
      </c>
      <c r="F54">
        <v>349.55</v>
      </c>
      <c r="G54">
        <v>8703428</v>
      </c>
    </row>
    <row r="55" spans="1:7" x14ac:dyDescent="0.35">
      <c r="A55" s="40">
        <v>44257</v>
      </c>
      <c r="B55">
        <v>346.25</v>
      </c>
      <c r="C55">
        <v>346.25</v>
      </c>
      <c r="D55">
        <v>335.35</v>
      </c>
      <c r="E55">
        <v>338.3</v>
      </c>
      <c r="F55">
        <v>338.3</v>
      </c>
      <c r="G55">
        <v>7687364</v>
      </c>
    </row>
    <row r="56" spans="1:7" x14ac:dyDescent="0.35">
      <c r="A56" s="40">
        <v>44256</v>
      </c>
      <c r="B56">
        <v>338</v>
      </c>
      <c r="C56">
        <v>348.7</v>
      </c>
      <c r="D56">
        <v>332.6</v>
      </c>
      <c r="E56">
        <v>345.4</v>
      </c>
      <c r="F56">
        <v>345.4</v>
      </c>
      <c r="G56">
        <v>5995931</v>
      </c>
    </row>
    <row r="57" spans="1:7" x14ac:dyDescent="0.35">
      <c r="A57" s="40">
        <v>44253</v>
      </c>
      <c r="B57">
        <v>338</v>
      </c>
      <c r="C57">
        <v>345.9</v>
      </c>
      <c r="D57">
        <v>332</v>
      </c>
      <c r="E57">
        <v>335.9</v>
      </c>
      <c r="F57">
        <v>335.9</v>
      </c>
      <c r="G57">
        <v>8851273</v>
      </c>
    </row>
    <row r="58" spans="1:7" x14ac:dyDescent="0.35">
      <c r="A58" s="40">
        <v>44252</v>
      </c>
      <c r="B58">
        <v>340.3</v>
      </c>
      <c r="C58">
        <v>346.95</v>
      </c>
      <c r="D58">
        <v>340</v>
      </c>
      <c r="E58">
        <v>344.9</v>
      </c>
      <c r="F58">
        <v>344.9</v>
      </c>
      <c r="G58">
        <v>6333361</v>
      </c>
    </row>
    <row r="59" spans="1:7" x14ac:dyDescent="0.35">
      <c r="A59" s="40">
        <v>44251</v>
      </c>
      <c r="B59">
        <v>339</v>
      </c>
      <c r="C59">
        <v>344.65</v>
      </c>
      <c r="D59">
        <v>332</v>
      </c>
      <c r="E59">
        <v>338.15</v>
      </c>
      <c r="F59">
        <v>338.15</v>
      </c>
      <c r="G59">
        <v>7132578</v>
      </c>
    </row>
    <row r="60" spans="1:7" x14ac:dyDescent="0.35">
      <c r="A60" s="40">
        <v>44250</v>
      </c>
      <c r="B60">
        <v>323.60000000000002</v>
      </c>
      <c r="C60">
        <v>342</v>
      </c>
      <c r="D60">
        <v>321.14999999999998</v>
      </c>
      <c r="E60">
        <v>336.9</v>
      </c>
      <c r="F60">
        <v>336.9</v>
      </c>
      <c r="G60">
        <v>12824670</v>
      </c>
    </row>
    <row r="61" spans="1:7" x14ac:dyDescent="0.35">
      <c r="A61" s="40">
        <v>44249</v>
      </c>
      <c r="B61">
        <v>320.05</v>
      </c>
      <c r="C61">
        <v>332.4</v>
      </c>
      <c r="D61">
        <v>318</v>
      </c>
      <c r="E61">
        <v>321.64999999999998</v>
      </c>
      <c r="F61">
        <v>321.64999999999998</v>
      </c>
      <c r="G61">
        <v>11165599</v>
      </c>
    </row>
    <row r="62" spans="1:7" x14ac:dyDescent="0.35">
      <c r="A62" s="40">
        <v>44246</v>
      </c>
      <c r="B62">
        <v>324.89999999999998</v>
      </c>
      <c r="C62">
        <v>332.95</v>
      </c>
      <c r="D62">
        <v>312.35000000000002</v>
      </c>
      <c r="E62">
        <v>321.5</v>
      </c>
      <c r="F62">
        <v>321.5</v>
      </c>
      <c r="G62">
        <v>11751459</v>
      </c>
    </row>
    <row r="63" spans="1:7" x14ac:dyDescent="0.35">
      <c r="A63" s="40">
        <v>44245</v>
      </c>
      <c r="B63">
        <v>325.5</v>
      </c>
      <c r="C63">
        <v>332.9</v>
      </c>
      <c r="D63">
        <v>325.5</v>
      </c>
      <c r="E63">
        <v>327.85</v>
      </c>
      <c r="F63">
        <v>327.85</v>
      </c>
      <c r="G63">
        <v>8261985</v>
      </c>
    </row>
    <row r="64" spans="1:7" x14ac:dyDescent="0.35">
      <c r="A64" s="40">
        <v>44244</v>
      </c>
      <c r="B64">
        <v>329.1</v>
      </c>
      <c r="C64">
        <v>329.7</v>
      </c>
      <c r="D64">
        <v>321.05</v>
      </c>
      <c r="E64">
        <v>325.2</v>
      </c>
      <c r="F64">
        <v>325.2</v>
      </c>
      <c r="G64">
        <v>9900841</v>
      </c>
    </row>
    <row r="65" spans="1:7" x14ac:dyDescent="0.35">
      <c r="A65" s="40">
        <v>44243</v>
      </c>
      <c r="B65">
        <v>309</v>
      </c>
      <c r="C65">
        <v>335.9</v>
      </c>
      <c r="D65">
        <v>308.8</v>
      </c>
      <c r="E65">
        <v>332.65</v>
      </c>
      <c r="F65">
        <v>332.65</v>
      </c>
      <c r="G65">
        <v>26320619</v>
      </c>
    </row>
    <row r="66" spans="1:7" x14ac:dyDescent="0.35">
      <c r="A66" s="40">
        <v>44242</v>
      </c>
      <c r="B66">
        <v>311</v>
      </c>
      <c r="C66">
        <v>314.5</v>
      </c>
      <c r="D66">
        <v>306.45</v>
      </c>
      <c r="E66">
        <v>308.60000000000002</v>
      </c>
      <c r="F66">
        <v>308.60000000000002</v>
      </c>
      <c r="G66">
        <v>6379749</v>
      </c>
    </row>
    <row r="67" spans="1:7" x14ac:dyDescent="0.35">
      <c r="A67" s="40">
        <v>44239</v>
      </c>
      <c r="B67">
        <v>315.95</v>
      </c>
      <c r="C67">
        <v>316.89999999999998</v>
      </c>
      <c r="D67">
        <v>307.10000000000002</v>
      </c>
      <c r="E67">
        <v>308.3</v>
      </c>
      <c r="F67">
        <v>308.3</v>
      </c>
      <c r="G67">
        <v>6546595</v>
      </c>
    </row>
    <row r="68" spans="1:7" x14ac:dyDescent="0.35">
      <c r="A68" s="40">
        <v>44238</v>
      </c>
      <c r="B68">
        <v>310</v>
      </c>
      <c r="C68">
        <v>318</v>
      </c>
      <c r="D68">
        <v>308.35000000000002</v>
      </c>
      <c r="E68">
        <v>315.55</v>
      </c>
      <c r="F68">
        <v>315.55</v>
      </c>
      <c r="G68">
        <v>8020929</v>
      </c>
    </row>
    <row r="69" spans="1:7" x14ac:dyDescent="0.35">
      <c r="A69" s="40">
        <v>44237</v>
      </c>
      <c r="B69">
        <v>314</v>
      </c>
      <c r="C69">
        <v>318.39999999999998</v>
      </c>
      <c r="D69">
        <v>303.95</v>
      </c>
      <c r="E69">
        <v>311.45</v>
      </c>
      <c r="F69">
        <v>311.45</v>
      </c>
      <c r="G69">
        <v>15272126</v>
      </c>
    </row>
    <row r="70" spans="1:7" x14ac:dyDescent="0.35">
      <c r="A70" s="40">
        <v>44236</v>
      </c>
      <c r="B70">
        <v>307</v>
      </c>
      <c r="C70">
        <v>317.25</v>
      </c>
      <c r="D70">
        <v>304.85000000000002</v>
      </c>
      <c r="E70">
        <v>309.75</v>
      </c>
      <c r="F70">
        <v>309.75</v>
      </c>
      <c r="G70">
        <v>17242835</v>
      </c>
    </row>
    <row r="71" spans="1:7" x14ac:dyDescent="0.35">
      <c r="A71" s="40">
        <v>44235</v>
      </c>
      <c r="B71">
        <v>302.2</v>
      </c>
      <c r="C71">
        <v>311.60000000000002</v>
      </c>
      <c r="D71">
        <v>297.8</v>
      </c>
      <c r="E71">
        <v>307.14999999999998</v>
      </c>
      <c r="F71">
        <v>307.14999999999998</v>
      </c>
      <c r="G71">
        <v>15504570</v>
      </c>
    </row>
    <row r="72" spans="1:7" x14ac:dyDescent="0.35">
      <c r="A72" s="40">
        <v>44232</v>
      </c>
      <c r="B72">
        <v>291.35000000000002</v>
      </c>
      <c r="C72">
        <v>301.05</v>
      </c>
      <c r="D72">
        <v>280.5</v>
      </c>
      <c r="E72">
        <v>299.2</v>
      </c>
      <c r="F72">
        <v>299.2</v>
      </c>
      <c r="G72">
        <v>14614529</v>
      </c>
    </row>
    <row r="73" spans="1:7" x14ac:dyDescent="0.35">
      <c r="A73" s="40">
        <v>44231</v>
      </c>
      <c r="B73">
        <v>284.35000000000002</v>
      </c>
      <c r="C73">
        <v>292.75</v>
      </c>
      <c r="D73">
        <v>282.05</v>
      </c>
      <c r="E73">
        <v>288.39999999999998</v>
      </c>
      <c r="F73">
        <v>288.39999999999998</v>
      </c>
      <c r="G73">
        <v>8512753</v>
      </c>
    </row>
    <row r="74" spans="1:7" x14ac:dyDescent="0.35">
      <c r="A74" s="40">
        <v>44230</v>
      </c>
      <c r="B74">
        <v>277.89999999999998</v>
      </c>
      <c r="C74">
        <v>294.8</v>
      </c>
      <c r="D74">
        <v>275.25</v>
      </c>
      <c r="E74">
        <v>285.5</v>
      </c>
      <c r="F74">
        <v>285.5</v>
      </c>
      <c r="G74">
        <v>12034014</v>
      </c>
    </row>
    <row r="75" spans="1:7" x14ac:dyDescent="0.35">
      <c r="A75" s="40">
        <v>44229</v>
      </c>
      <c r="B75">
        <v>280.2</v>
      </c>
      <c r="C75">
        <v>286.3</v>
      </c>
      <c r="D75">
        <v>271.2</v>
      </c>
      <c r="E75">
        <v>276.10000000000002</v>
      </c>
      <c r="F75">
        <v>276.10000000000002</v>
      </c>
      <c r="G75">
        <v>13596700</v>
      </c>
    </row>
    <row r="76" spans="1:7" x14ac:dyDescent="0.35">
      <c r="A76" s="40">
        <v>44228</v>
      </c>
      <c r="B76">
        <v>262</v>
      </c>
      <c r="C76">
        <v>280.35000000000002</v>
      </c>
      <c r="D76">
        <v>257.14999999999998</v>
      </c>
      <c r="E76">
        <v>277.5</v>
      </c>
      <c r="F76">
        <v>277.5</v>
      </c>
      <c r="G76">
        <v>12684256</v>
      </c>
    </row>
    <row r="77" spans="1:7" x14ac:dyDescent="0.35">
      <c r="A77" s="40">
        <v>44225</v>
      </c>
      <c r="B77">
        <v>273.7</v>
      </c>
      <c r="C77">
        <v>275</v>
      </c>
      <c r="D77">
        <v>258.2</v>
      </c>
      <c r="E77">
        <v>261.75</v>
      </c>
      <c r="F77">
        <v>261.75</v>
      </c>
      <c r="G77">
        <v>10965798</v>
      </c>
    </row>
    <row r="78" spans="1:7" x14ac:dyDescent="0.35">
      <c r="A78" s="40">
        <v>44224</v>
      </c>
      <c r="B78">
        <v>263</v>
      </c>
      <c r="C78">
        <v>274.7</v>
      </c>
      <c r="D78">
        <v>263</v>
      </c>
      <c r="E78">
        <v>270.95</v>
      </c>
      <c r="F78">
        <v>270.95</v>
      </c>
      <c r="G78">
        <v>8213950</v>
      </c>
    </row>
    <row r="79" spans="1:7" x14ac:dyDescent="0.35">
      <c r="A79" s="40">
        <v>44223</v>
      </c>
      <c r="B79">
        <v>280</v>
      </c>
      <c r="C79">
        <v>280.39999999999998</v>
      </c>
      <c r="D79">
        <v>266</v>
      </c>
      <c r="E79">
        <v>272.05</v>
      </c>
      <c r="F79">
        <v>272.05</v>
      </c>
      <c r="G79">
        <v>11603788</v>
      </c>
    </row>
    <row r="80" spans="1:7" x14ac:dyDescent="0.35">
      <c r="A80" s="40">
        <v>44221</v>
      </c>
      <c r="B80">
        <v>287</v>
      </c>
      <c r="C80">
        <v>290.8</v>
      </c>
      <c r="D80">
        <v>268.2</v>
      </c>
      <c r="E80">
        <v>279.64999999999998</v>
      </c>
      <c r="F80">
        <v>279.64999999999998</v>
      </c>
      <c r="G80">
        <v>14820160</v>
      </c>
    </row>
    <row r="81" spans="1:7" x14ac:dyDescent="0.35">
      <c r="A81" s="40">
        <v>44218</v>
      </c>
      <c r="B81">
        <v>304.8</v>
      </c>
      <c r="C81">
        <v>309.25</v>
      </c>
      <c r="D81">
        <v>278.10000000000002</v>
      </c>
      <c r="E81">
        <v>281.64999999999998</v>
      </c>
      <c r="F81">
        <v>281.64999999999998</v>
      </c>
      <c r="G81">
        <v>24406863</v>
      </c>
    </row>
    <row r="82" spans="1:7" x14ac:dyDescent="0.35">
      <c r="A82" s="40">
        <v>44217</v>
      </c>
      <c r="B82">
        <v>307</v>
      </c>
      <c r="C82">
        <v>310.5</v>
      </c>
      <c r="D82">
        <v>295.2</v>
      </c>
      <c r="E82">
        <v>301.10000000000002</v>
      </c>
      <c r="F82">
        <v>301.10000000000002</v>
      </c>
      <c r="G82">
        <v>16599082</v>
      </c>
    </row>
    <row r="83" spans="1:7" x14ac:dyDescent="0.35">
      <c r="A83" s="40">
        <v>44216</v>
      </c>
      <c r="B83">
        <v>296</v>
      </c>
      <c r="C83">
        <v>306.75</v>
      </c>
      <c r="D83">
        <v>294.05</v>
      </c>
      <c r="E83">
        <v>305.05</v>
      </c>
      <c r="F83">
        <v>305.05</v>
      </c>
      <c r="G83">
        <v>11213922</v>
      </c>
    </row>
    <row r="84" spans="1:7" x14ac:dyDescent="0.35">
      <c r="A84" s="40">
        <v>44215</v>
      </c>
      <c r="B84">
        <v>286</v>
      </c>
      <c r="C84">
        <v>298.7</v>
      </c>
      <c r="D84">
        <v>284.2</v>
      </c>
      <c r="E84">
        <v>295.89999999999998</v>
      </c>
      <c r="F84">
        <v>295.89999999999998</v>
      </c>
      <c r="G84">
        <v>8412997</v>
      </c>
    </row>
    <row r="85" spans="1:7" x14ac:dyDescent="0.35">
      <c r="A85" s="40">
        <v>44214</v>
      </c>
      <c r="B85">
        <v>299</v>
      </c>
      <c r="C85">
        <v>299.39999999999998</v>
      </c>
      <c r="D85">
        <v>279.45</v>
      </c>
      <c r="E85">
        <v>282.45</v>
      </c>
      <c r="F85">
        <v>282.45</v>
      </c>
      <c r="G85">
        <v>9306301</v>
      </c>
    </row>
    <row r="86" spans="1:7" x14ac:dyDescent="0.35">
      <c r="A86" s="40">
        <v>44211</v>
      </c>
      <c r="B86">
        <v>295</v>
      </c>
      <c r="C86">
        <v>304</v>
      </c>
      <c r="D86">
        <v>293.2</v>
      </c>
      <c r="E86">
        <v>299</v>
      </c>
      <c r="F86">
        <v>299</v>
      </c>
      <c r="G86">
        <v>12385982</v>
      </c>
    </row>
    <row r="87" spans="1:7" x14ac:dyDescent="0.35">
      <c r="A87" s="40">
        <v>44210</v>
      </c>
      <c r="B87">
        <v>299.7</v>
      </c>
      <c r="C87">
        <v>301</v>
      </c>
      <c r="D87">
        <v>291.35000000000002</v>
      </c>
      <c r="E87">
        <v>293.64999999999998</v>
      </c>
      <c r="F87">
        <v>293.64999999999998</v>
      </c>
      <c r="G87">
        <v>5834247</v>
      </c>
    </row>
    <row r="88" spans="1:7" x14ac:dyDescent="0.35">
      <c r="A88" s="40">
        <v>44209</v>
      </c>
      <c r="B88">
        <v>297.3</v>
      </c>
      <c r="C88">
        <v>305.75</v>
      </c>
      <c r="D88">
        <v>288.3</v>
      </c>
      <c r="E88">
        <v>299.75</v>
      </c>
      <c r="F88">
        <v>299.75</v>
      </c>
      <c r="G88">
        <v>10560096</v>
      </c>
    </row>
    <row r="89" spans="1:7" x14ac:dyDescent="0.35">
      <c r="A89" s="40">
        <v>44208</v>
      </c>
      <c r="B89">
        <v>292.5</v>
      </c>
      <c r="C89">
        <v>307</v>
      </c>
      <c r="D89">
        <v>290.39999999999998</v>
      </c>
      <c r="E89">
        <v>294.39999999999998</v>
      </c>
      <c r="F89">
        <v>294.39999999999998</v>
      </c>
      <c r="G89">
        <v>12056629</v>
      </c>
    </row>
    <row r="90" spans="1:7" x14ac:dyDescent="0.35">
      <c r="A90" s="40">
        <v>44207</v>
      </c>
      <c r="B90">
        <v>295</v>
      </c>
      <c r="C90">
        <v>295.25</v>
      </c>
      <c r="D90">
        <v>284.89999999999998</v>
      </c>
      <c r="E90">
        <v>293.05</v>
      </c>
      <c r="F90">
        <v>293.05</v>
      </c>
      <c r="G90">
        <v>8300395</v>
      </c>
    </row>
    <row r="91" spans="1:7" x14ac:dyDescent="0.35">
      <c r="A91" s="40">
        <v>44204</v>
      </c>
      <c r="B91">
        <v>300.5</v>
      </c>
      <c r="C91">
        <v>302.60000000000002</v>
      </c>
      <c r="D91">
        <v>290.89999999999998</v>
      </c>
      <c r="E91">
        <v>293.8</v>
      </c>
      <c r="F91">
        <v>293.8</v>
      </c>
      <c r="G91">
        <v>9970177</v>
      </c>
    </row>
    <row r="92" spans="1:7" x14ac:dyDescent="0.35">
      <c r="A92" s="40">
        <v>44203</v>
      </c>
      <c r="B92">
        <v>288</v>
      </c>
      <c r="C92">
        <v>304.64999999999998</v>
      </c>
      <c r="D92">
        <v>287.25</v>
      </c>
      <c r="E92">
        <v>298</v>
      </c>
      <c r="F92">
        <v>298</v>
      </c>
      <c r="G92">
        <v>16883643</v>
      </c>
    </row>
    <row r="93" spans="1:7" x14ac:dyDescent="0.35">
      <c r="A93" s="40">
        <v>44202</v>
      </c>
      <c r="B93">
        <v>285.95</v>
      </c>
      <c r="C93">
        <v>290.60000000000002</v>
      </c>
      <c r="D93">
        <v>278.14999999999998</v>
      </c>
      <c r="E93">
        <v>284.2</v>
      </c>
      <c r="F93">
        <v>284.2</v>
      </c>
      <c r="G93">
        <v>12378749</v>
      </c>
    </row>
    <row r="94" spans="1:7" x14ac:dyDescent="0.35">
      <c r="A94" s="40">
        <v>44201</v>
      </c>
      <c r="B94">
        <v>286.5</v>
      </c>
      <c r="C94">
        <v>288</v>
      </c>
      <c r="D94">
        <v>282.10000000000002</v>
      </c>
      <c r="E94">
        <v>284.64999999999998</v>
      </c>
      <c r="F94">
        <v>284.64999999999998</v>
      </c>
      <c r="G94">
        <v>7992858</v>
      </c>
    </row>
    <row r="95" spans="1:7" x14ac:dyDescent="0.35">
      <c r="A95" s="40">
        <v>44200</v>
      </c>
      <c r="B95">
        <v>273.3</v>
      </c>
      <c r="C95">
        <v>290</v>
      </c>
      <c r="D95">
        <v>272.7</v>
      </c>
      <c r="E95">
        <v>287.7</v>
      </c>
      <c r="F95">
        <v>287.7</v>
      </c>
      <c r="G95">
        <v>16083859</v>
      </c>
    </row>
    <row r="96" spans="1:7" x14ac:dyDescent="0.35">
      <c r="A96" s="40">
        <v>44197</v>
      </c>
      <c r="B96">
        <v>268.3</v>
      </c>
      <c r="C96">
        <v>272.85000000000002</v>
      </c>
      <c r="D96">
        <v>268.10000000000002</v>
      </c>
      <c r="E96">
        <v>270.14999999999998</v>
      </c>
      <c r="F96">
        <v>270.14999999999998</v>
      </c>
      <c r="G96">
        <v>8047337</v>
      </c>
    </row>
    <row r="97" spans="1:7" x14ac:dyDescent="0.35">
      <c r="A97" s="40">
        <v>44196</v>
      </c>
      <c r="B97">
        <v>264</v>
      </c>
      <c r="C97">
        <v>270.5</v>
      </c>
      <c r="D97">
        <v>262.05</v>
      </c>
      <c r="E97">
        <v>266.45</v>
      </c>
      <c r="F97">
        <v>266.45</v>
      </c>
      <c r="G97">
        <v>7949979</v>
      </c>
    </row>
    <row r="98" spans="1:7" x14ac:dyDescent="0.35">
      <c r="A98" s="40">
        <v>44195</v>
      </c>
      <c r="B98">
        <v>263.3</v>
      </c>
      <c r="C98">
        <v>268.89999999999998</v>
      </c>
      <c r="D98">
        <v>260.2</v>
      </c>
      <c r="E98">
        <v>265.95</v>
      </c>
      <c r="F98">
        <v>265.95</v>
      </c>
      <c r="G98">
        <v>9449170</v>
      </c>
    </row>
    <row r="99" spans="1:7" x14ac:dyDescent="0.35">
      <c r="A99" s="40">
        <v>44194</v>
      </c>
      <c r="B99">
        <v>269</v>
      </c>
      <c r="C99">
        <v>271.10000000000002</v>
      </c>
      <c r="D99">
        <v>257.8</v>
      </c>
      <c r="E99">
        <v>259.39999999999998</v>
      </c>
      <c r="F99">
        <v>259.39999999999998</v>
      </c>
      <c r="G99">
        <v>8428134</v>
      </c>
    </row>
    <row r="100" spans="1:7" x14ac:dyDescent="0.35">
      <c r="A100" s="40">
        <v>44193</v>
      </c>
      <c r="B100">
        <v>259.3</v>
      </c>
      <c r="C100">
        <v>269</v>
      </c>
      <c r="D100">
        <v>259.2</v>
      </c>
      <c r="E100">
        <v>267.14999999999998</v>
      </c>
      <c r="F100">
        <v>267.14999999999998</v>
      </c>
      <c r="G100">
        <v>8007419</v>
      </c>
    </row>
    <row r="101" spans="1:7" x14ac:dyDescent="0.35">
      <c r="A101" s="40">
        <v>44189</v>
      </c>
      <c r="B101">
        <v>264.75</v>
      </c>
      <c r="C101">
        <v>269.5</v>
      </c>
      <c r="D101">
        <v>258</v>
      </c>
      <c r="E101">
        <v>259.25</v>
      </c>
      <c r="F101">
        <v>259.25</v>
      </c>
      <c r="G101">
        <v>10510931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46D-1F00-4136-AC0A-64149C27633A}">
  <sheetPr codeName="Sheet10"/>
  <dimension ref="A1:G101"/>
  <sheetViews>
    <sheetView workbookViewId="0"/>
  </sheetViews>
  <sheetFormatPr defaultColWidth="8.83203125" defaultRowHeight="14.5" x14ac:dyDescent="0.35"/>
  <cols>
    <col min="1" max="1" width="10" customWidth="1"/>
    <col min="2" max="4" width="7.58203125" customWidth="1"/>
    <col min="5" max="5" width="8.5" customWidth="1"/>
    <col min="6" max="6" width="13" customWidth="1"/>
    <col min="7" max="7" width="9.5" customWidth="1"/>
  </cols>
  <sheetData>
    <row r="1" spans="1:7" x14ac:dyDescent="0.35">
      <c r="A1" t="s">
        <v>32</v>
      </c>
      <c r="B1" t="s">
        <v>33</v>
      </c>
      <c r="C1" t="s">
        <v>34</v>
      </c>
      <c r="D1" t="s">
        <v>35</v>
      </c>
      <c r="E1" t="s">
        <v>36</v>
      </c>
      <c r="F1" t="s">
        <v>37</v>
      </c>
      <c r="G1" t="s">
        <v>38</v>
      </c>
    </row>
    <row r="2" spans="1:7" x14ac:dyDescent="0.35">
      <c r="A2" s="40">
        <v>44340</v>
      </c>
      <c r="B2">
        <v>1018.9</v>
      </c>
      <c r="C2">
        <v>1022.75</v>
      </c>
      <c r="D2">
        <v>997.05</v>
      </c>
      <c r="E2">
        <v>1004.75</v>
      </c>
      <c r="F2">
        <v>1004.75</v>
      </c>
      <c r="G2">
        <v>5384987</v>
      </c>
    </row>
    <row r="3" spans="1:7" x14ac:dyDescent="0.35">
      <c r="A3" s="40">
        <v>44337</v>
      </c>
      <c r="B3">
        <v>985</v>
      </c>
      <c r="C3">
        <v>1020</v>
      </c>
      <c r="D3">
        <v>981.8</v>
      </c>
      <c r="E3">
        <v>1016</v>
      </c>
      <c r="F3">
        <v>1016</v>
      </c>
      <c r="G3">
        <v>12591860</v>
      </c>
    </row>
    <row r="4" spans="1:7" x14ac:dyDescent="0.35">
      <c r="A4" s="40">
        <v>44336</v>
      </c>
      <c r="B4">
        <v>963</v>
      </c>
      <c r="C4">
        <v>987.9</v>
      </c>
      <c r="D4">
        <v>963</v>
      </c>
      <c r="E4">
        <v>975.5</v>
      </c>
      <c r="F4">
        <v>975.5</v>
      </c>
      <c r="G4">
        <v>5835440</v>
      </c>
    </row>
    <row r="5" spans="1:7" x14ac:dyDescent="0.35">
      <c r="A5" s="40">
        <v>44335</v>
      </c>
      <c r="B5">
        <v>965</v>
      </c>
      <c r="C5">
        <v>978.6</v>
      </c>
      <c r="D5">
        <v>961.2</v>
      </c>
      <c r="E5">
        <v>967</v>
      </c>
      <c r="F5">
        <v>967</v>
      </c>
      <c r="G5">
        <v>4787294</v>
      </c>
    </row>
    <row r="6" spans="1:7" x14ac:dyDescent="0.35">
      <c r="A6" s="40">
        <v>44334</v>
      </c>
      <c r="B6">
        <v>967</v>
      </c>
      <c r="C6">
        <v>986.95</v>
      </c>
      <c r="D6">
        <v>967</v>
      </c>
      <c r="E6">
        <v>974.55</v>
      </c>
      <c r="F6">
        <v>974.55</v>
      </c>
      <c r="G6">
        <v>8715366</v>
      </c>
    </row>
    <row r="7" spans="1:7" x14ac:dyDescent="0.35">
      <c r="A7" s="40">
        <v>44333</v>
      </c>
      <c r="B7">
        <v>897.1</v>
      </c>
      <c r="C7">
        <v>959.9</v>
      </c>
      <c r="D7">
        <v>897.1</v>
      </c>
      <c r="E7">
        <v>956.45</v>
      </c>
      <c r="F7">
        <v>956.45</v>
      </c>
      <c r="G7">
        <v>10987165</v>
      </c>
    </row>
    <row r="8" spans="1:7" x14ac:dyDescent="0.35">
      <c r="A8" s="40">
        <v>44330</v>
      </c>
      <c r="B8">
        <v>923</v>
      </c>
      <c r="C8">
        <v>923</v>
      </c>
      <c r="D8">
        <v>888.1</v>
      </c>
      <c r="E8">
        <v>890.85</v>
      </c>
      <c r="F8">
        <v>890.85</v>
      </c>
      <c r="G8">
        <v>6169600</v>
      </c>
    </row>
    <row r="9" spans="1:7" x14ac:dyDescent="0.35">
      <c r="A9" s="40">
        <v>44328</v>
      </c>
      <c r="B9">
        <v>942</v>
      </c>
      <c r="C9">
        <v>950.55</v>
      </c>
      <c r="D9">
        <v>914</v>
      </c>
      <c r="E9">
        <v>916.65</v>
      </c>
      <c r="F9">
        <v>916.65</v>
      </c>
      <c r="G9">
        <v>5074561</v>
      </c>
    </row>
    <row r="10" spans="1:7" x14ac:dyDescent="0.35">
      <c r="A10" s="40">
        <v>44327</v>
      </c>
      <c r="B10">
        <v>923.95</v>
      </c>
      <c r="C10">
        <v>957</v>
      </c>
      <c r="D10">
        <v>922.9</v>
      </c>
      <c r="E10">
        <v>948.85</v>
      </c>
      <c r="F10">
        <v>948.85</v>
      </c>
      <c r="G10">
        <v>5732298</v>
      </c>
    </row>
    <row r="11" spans="1:7" x14ac:dyDescent="0.35">
      <c r="A11" s="40">
        <v>44326</v>
      </c>
      <c r="B11">
        <v>939</v>
      </c>
      <c r="C11">
        <v>949.95</v>
      </c>
      <c r="D11">
        <v>931.15</v>
      </c>
      <c r="E11">
        <v>945.4</v>
      </c>
      <c r="F11">
        <v>945.4</v>
      </c>
      <c r="G11">
        <v>5087341</v>
      </c>
    </row>
    <row r="12" spans="1:7" x14ac:dyDescent="0.35">
      <c r="A12" s="40">
        <v>44323</v>
      </c>
      <c r="B12">
        <v>932.55</v>
      </c>
      <c r="C12">
        <v>951.8</v>
      </c>
      <c r="D12">
        <v>925</v>
      </c>
      <c r="E12">
        <v>926.2</v>
      </c>
      <c r="F12">
        <v>926.2</v>
      </c>
      <c r="G12">
        <v>5419712</v>
      </c>
    </row>
    <row r="13" spans="1:7" x14ac:dyDescent="0.35">
      <c r="A13" s="40">
        <v>44322</v>
      </c>
      <c r="B13">
        <v>937.45</v>
      </c>
      <c r="C13">
        <v>938.65</v>
      </c>
      <c r="D13">
        <v>920</v>
      </c>
      <c r="E13">
        <v>924.95</v>
      </c>
      <c r="F13">
        <v>924.95</v>
      </c>
      <c r="G13">
        <v>3705397</v>
      </c>
    </row>
    <row r="14" spans="1:7" x14ac:dyDescent="0.35">
      <c r="A14" s="40">
        <v>44321</v>
      </c>
      <c r="B14">
        <v>923</v>
      </c>
      <c r="C14">
        <v>934.75</v>
      </c>
      <c r="D14">
        <v>909.3</v>
      </c>
      <c r="E14">
        <v>931.15</v>
      </c>
      <c r="F14">
        <v>931.15</v>
      </c>
      <c r="G14">
        <v>5975741</v>
      </c>
    </row>
    <row r="15" spans="1:7" x14ac:dyDescent="0.35">
      <c r="A15" s="40">
        <v>44320</v>
      </c>
      <c r="B15">
        <v>930</v>
      </c>
      <c r="C15">
        <v>934.5</v>
      </c>
      <c r="D15">
        <v>906</v>
      </c>
      <c r="E15">
        <v>910.15</v>
      </c>
      <c r="F15">
        <v>910.15</v>
      </c>
      <c r="G15">
        <v>7499852</v>
      </c>
    </row>
    <row r="16" spans="1:7" x14ac:dyDescent="0.35">
      <c r="A16" s="40">
        <v>44319</v>
      </c>
      <c r="B16">
        <v>929</v>
      </c>
      <c r="C16">
        <v>967.7</v>
      </c>
      <c r="D16">
        <v>899</v>
      </c>
      <c r="E16">
        <v>913.6</v>
      </c>
      <c r="F16">
        <v>913.6</v>
      </c>
      <c r="G16">
        <v>16854199</v>
      </c>
    </row>
    <row r="17" spans="1:7" x14ac:dyDescent="0.35">
      <c r="A17" s="40">
        <v>44316</v>
      </c>
      <c r="B17">
        <v>928</v>
      </c>
      <c r="C17">
        <v>948.5</v>
      </c>
      <c r="D17">
        <v>915.1</v>
      </c>
      <c r="E17">
        <v>934.95</v>
      </c>
      <c r="F17">
        <v>934.95</v>
      </c>
      <c r="G17">
        <v>7301455</v>
      </c>
    </row>
    <row r="18" spans="1:7" x14ac:dyDescent="0.35">
      <c r="A18" s="40">
        <v>44315</v>
      </c>
      <c r="B18">
        <v>936.85</v>
      </c>
      <c r="C18">
        <v>958.85</v>
      </c>
      <c r="D18">
        <v>917.1</v>
      </c>
      <c r="E18">
        <v>939.45</v>
      </c>
      <c r="F18">
        <v>939.45</v>
      </c>
      <c r="G18">
        <v>12187280</v>
      </c>
    </row>
    <row r="19" spans="1:7" x14ac:dyDescent="0.35">
      <c r="A19" s="40">
        <v>44314</v>
      </c>
      <c r="B19">
        <v>890</v>
      </c>
      <c r="C19">
        <v>931</v>
      </c>
      <c r="D19">
        <v>888</v>
      </c>
      <c r="E19">
        <v>926.9</v>
      </c>
      <c r="F19">
        <v>926.9</v>
      </c>
      <c r="G19">
        <v>9935828</v>
      </c>
    </row>
    <row r="20" spans="1:7" x14ac:dyDescent="0.35">
      <c r="A20" s="40">
        <v>44313</v>
      </c>
      <c r="B20">
        <v>859.55</v>
      </c>
      <c r="C20">
        <v>886</v>
      </c>
      <c r="D20">
        <v>859</v>
      </c>
      <c r="E20">
        <v>882.45</v>
      </c>
      <c r="F20">
        <v>882.45</v>
      </c>
      <c r="G20">
        <v>5202133</v>
      </c>
    </row>
    <row r="21" spans="1:7" x14ac:dyDescent="0.35">
      <c r="A21" s="40">
        <v>44312</v>
      </c>
      <c r="B21">
        <v>857</v>
      </c>
      <c r="C21">
        <v>870.95</v>
      </c>
      <c r="D21">
        <v>851.45</v>
      </c>
      <c r="E21">
        <v>859.55</v>
      </c>
      <c r="F21">
        <v>859.55</v>
      </c>
      <c r="G21">
        <v>4894557</v>
      </c>
    </row>
    <row r="22" spans="1:7" x14ac:dyDescent="0.35">
      <c r="A22" s="40">
        <v>44309</v>
      </c>
      <c r="B22">
        <v>830</v>
      </c>
      <c r="C22">
        <v>859.95</v>
      </c>
      <c r="D22">
        <v>822.8</v>
      </c>
      <c r="E22">
        <v>850</v>
      </c>
      <c r="F22">
        <v>850</v>
      </c>
      <c r="G22">
        <v>7695324</v>
      </c>
    </row>
    <row r="23" spans="1:7" x14ac:dyDescent="0.35">
      <c r="A23" s="40">
        <v>44308</v>
      </c>
      <c r="B23">
        <v>831</v>
      </c>
      <c r="C23">
        <v>839.95</v>
      </c>
      <c r="D23">
        <v>815</v>
      </c>
      <c r="E23">
        <v>835.7</v>
      </c>
      <c r="F23">
        <v>835.7</v>
      </c>
      <c r="G23">
        <v>9717099</v>
      </c>
    </row>
    <row r="24" spans="1:7" x14ac:dyDescent="0.35">
      <c r="A24" s="40">
        <v>44306</v>
      </c>
      <c r="B24">
        <v>845</v>
      </c>
      <c r="C24">
        <v>864.8</v>
      </c>
      <c r="D24">
        <v>840.05</v>
      </c>
      <c r="E24">
        <v>845</v>
      </c>
      <c r="F24">
        <v>845</v>
      </c>
      <c r="G24">
        <v>8240669</v>
      </c>
    </row>
    <row r="25" spans="1:7" x14ac:dyDescent="0.35">
      <c r="A25" s="40">
        <v>44305</v>
      </c>
      <c r="B25">
        <v>829.95</v>
      </c>
      <c r="C25">
        <v>836.55</v>
      </c>
      <c r="D25">
        <v>811</v>
      </c>
      <c r="E25">
        <v>832</v>
      </c>
      <c r="F25">
        <v>832</v>
      </c>
      <c r="G25">
        <v>8550122</v>
      </c>
    </row>
    <row r="26" spans="1:7" x14ac:dyDescent="0.35">
      <c r="A26" s="40">
        <v>44302</v>
      </c>
      <c r="B26">
        <v>864.1</v>
      </c>
      <c r="C26">
        <v>869.95</v>
      </c>
      <c r="D26">
        <v>853.05</v>
      </c>
      <c r="E26">
        <v>862.95</v>
      </c>
      <c r="F26">
        <v>862.95</v>
      </c>
      <c r="G26">
        <v>5338683</v>
      </c>
    </row>
    <row r="27" spans="1:7" x14ac:dyDescent="0.35">
      <c r="A27" s="40">
        <v>44301</v>
      </c>
      <c r="B27">
        <v>867.5</v>
      </c>
      <c r="C27">
        <v>883.8</v>
      </c>
      <c r="D27">
        <v>841.25</v>
      </c>
      <c r="E27">
        <v>858.35</v>
      </c>
      <c r="F27">
        <v>858.35</v>
      </c>
      <c r="G27">
        <v>6862663</v>
      </c>
    </row>
    <row r="28" spans="1:7" x14ac:dyDescent="0.35">
      <c r="A28" s="40">
        <v>44299</v>
      </c>
      <c r="B28">
        <v>850</v>
      </c>
      <c r="C28">
        <v>881</v>
      </c>
      <c r="D28">
        <v>844.5</v>
      </c>
      <c r="E28">
        <v>877.4</v>
      </c>
      <c r="F28">
        <v>877.4</v>
      </c>
      <c r="G28">
        <v>6778840</v>
      </c>
    </row>
    <row r="29" spans="1:7" x14ac:dyDescent="0.35">
      <c r="A29" s="40">
        <v>44298</v>
      </c>
      <c r="B29">
        <v>884</v>
      </c>
      <c r="C29">
        <v>890</v>
      </c>
      <c r="D29">
        <v>841</v>
      </c>
      <c r="E29">
        <v>844.4</v>
      </c>
      <c r="F29">
        <v>844.4</v>
      </c>
      <c r="G29">
        <v>10674765</v>
      </c>
    </row>
    <row r="30" spans="1:7" x14ac:dyDescent="0.35">
      <c r="A30" s="40">
        <v>44295</v>
      </c>
      <c r="B30">
        <v>935</v>
      </c>
      <c r="C30">
        <v>939.7</v>
      </c>
      <c r="D30">
        <v>917.45</v>
      </c>
      <c r="E30">
        <v>923.65</v>
      </c>
      <c r="F30">
        <v>923.65</v>
      </c>
      <c r="G30">
        <v>4980026</v>
      </c>
    </row>
    <row r="31" spans="1:7" x14ac:dyDescent="0.35">
      <c r="A31" s="40">
        <v>44294</v>
      </c>
      <c r="B31">
        <v>949</v>
      </c>
      <c r="C31">
        <v>957.95</v>
      </c>
      <c r="D31">
        <v>932</v>
      </c>
      <c r="E31">
        <v>934.9</v>
      </c>
      <c r="F31">
        <v>934.9</v>
      </c>
      <c r="G31">
        <v>3946239</v>
      </c>
    </row>
    <row r="32" spans="1:7" x14ac:dyDescent="0.35">
      <c r="A32" s="40">
        <v>44293</v>
      </c>
      <c r="B32">
        <v>931</v>
      </c>
      <c r="C32">
        <v>952.45</v>
      </c>
      <c r="D32">
        <v>921.15</v>
      </c>
      <c r="E32">
        <v>945.55</v>
      </c>
      <c r="F32">
        <v>945.55</v>
      </c>
      <c r="G32">
        <v>5714921</v>
      </c>
    </row>
    <row r="33" spans="1:7" x14ac:dyDescent="0.35">
      <c r="A33" s="40">
        <v>44292</v>
      </c>
      <c r="B33">
        <v>947.8</v>
      </c>
      <c r="C33">
        <v>954.2</v>
      </c>
      <c r="D33">
        <v>921.5</v>
      </c>
      <c r="E33">
        <v>927.25</v>
      </c>
      <c r="F33">
        <v>927.25</v>
      </c>
      <c r="G33">
        <v>6925347</v>
      </c>
    </row>
    <row r="34" spans="1:7" x14ac:dyDescent="0.35">
      <c r="A34" s="40">
        <v>44291</v>
      </c>
      <c r="B34">
        <v>985</v>
      </c>
      <c r="C34">
        <v>988.95</v>
      </c>
      <c r="D34">
        <v>918.55</v>
      </c>
      <c r="E34">
        <v>937.35</v>
      </c>
      <c r="F34">
        <v>937.35</v>
      </c>
      <c r="G34">
        <v>11223431</v>
      </c>
    </row>
    <row r="35" spans="1:7" x14ac:dyDescent="0.35">
      <c r="A35" s="40">
        <v>44287</v>
      </c>
      <c r="B35">
        <v>964</v>
      </c>
      <c r="C35">
        <v>997</v>
      </c>
      <c r="D35">
        <v>959.1</v>
      </c>
      <c r="E35">
        <v>993.3</v>
      </c>
      <c r="F35">
        <v>993.3</v>
      </c>
      <c r="G35">
        <v>7932671</v>
      </c>
    </row>
    <row r="36" spans="1:7" x14ac:dyDescent="0.35">
      <c r="A36" s="40">
        <v>44286</v>
      </c>
      <c r="B36">
        <v>961.05</v>
      </c>
      <c r="C36">
        <v>969</v>
      </c>
      <c r="D36">
        <v>950</v>
      </c>
      <c r="E36">
        <v>954.45</v>
      </c>
      <c r="F36">
        <v>954.45</v>
      </c>
      <c r="G36">
        <v>4453746</v>
      </c>
    </row>
    <row r="37" spans="1:7" x14ac:dyDescent="0.35">
      <c r="A37" s="40">
        <v>44285</v>
      </c>
      <c r="B37">
        <v>966</v>
      </c>
      <c r="C37">
        <v>978.4</v>
      </c>
      <c r="D37">
        <v>955</v>
      </c>
      <c r="E37">
        <v>961.05</v>
      </c>
      <c r="F37">
        <v>961.05</v>
      </c>
      <c r="G37">
        <v>5831461</v>
      </c>
    </row>
    <row r="38" spans="1:7" x14ac:dyDescent="0.35">
      <c r="A38" s="40">
        <v>44281</v>
      </c>
      <c r="B38">
        <v>973.8</v>
      </c>
      <c r="C38">
        <v>976.5</v>
      </c>
      <c r="D38">
        <v>950</v>
      </c>
      <c r="E38">
        <v>952.75</v>
      </c>
      <c r="F38">
        <v>952.75</v>
      </c>
      <c r="G38">
        <v>4891178</v>
      </c>
    </row>
    <row r="39" spans="1:7" x14ac:dyDescent="0.35">
      <c r="A39" s="40">
        <v>44280</v>
      </c>
      <c r="B39">
        <v>958.7</v>
      </c>
      <c r="C39">
        <v>970</v>
      </c>
      <c r="D39">
        <v>928.85</v>
      </c>
      <c r="E39">
        <v>957.8</v>
      </c>
      <c r="F39">
        <v>957.8</v>
      </c>
      <c r="G39">
        <v>7614686</v>
      </c>
    </row>
    <row r="40" spans="1:7" x14ac:dyDescent="0.35">
      <c r="A40" s="40">
        <v>44279</v>
      </c>
      <c r="B40">
        <v>980.05</v>
      </c>
      <c r="C40">
        <v>985</v>
      </c>
      <c r="D40">
        <v>955</v>
      </c>
      <c r="E40">
        <v>958.7</v>
      </c>
      <c r="F40">
        <v>958.7</v>
      </c>
      <c r="G40">
        <v>5028085</v>
      </c>
    </row>
    <row r="41" spans="1:7" x14ac:dyDescent="0.35">
      <c r="A41" s="40">
        <v>44278</v>
      </c>
      <c r="B41">
        <v>977</v>
      </c>
      <c r="C41">
        <v>994.4</v>
      </c>
      <c r="D41">
        <v>970</v>
      </c>
      <c r="E41">
        <v>990.05</v>
      </c>
      <c r="F41">
        <v>990.05</v>
      </c>
      <c r="G41">
        <v>7530882</v>
      </c>
    </row>
    <row r="42" spans="1:7" x14ac:dyDescent="0.35">
      <c r="A42" s="40">
        <v>44277</v>
      </c>
      <c r="B42">
        <v>1006</v>
      </c>
      <c r="C42">
        <v>1011.85</v>
      </c>
      <c r="D42">
        <v>961.05</v>
      </c>
      <c r="E42">
        <v>968.15</v>
      </c>
      <c r="F42">
        <v>968.15</v>
      </c>
      <c r="G42">
        <v>12692489</v>
      </c>
    </row>
    <row r="43" spans="1:7" x14ac:dyDescent="0.35">
      <c r="A43" s="40">
        <v>44274</v>
      </c>
      <c r="B43">
        <v>990</v>
      </c>
      <c r="C43">
        <v>1018.8</v>
      </c>
      <c r="D43">
        <v>981.1</v>
      </c>
      <c r="E43">
        <v>1011.9</v>
      </c>
      <c r="F43">
        <v>1011.9</v>
      </c>
      <c r="G43">
        <v>6838935</v>
      </c>
    </row>
    <row r="44" spans="1:7" x14ac:dyDescent="0.35">
      <c r="A44" s="40">
        <v>44273</v>
      </c>
      <c r="B44">
        <v>1025</v>
      </c>
      <c r="C44">
        <v>1030.7</v>
      </c>
      <c r="D44">
        <v>988</v>
      </c>
      <c r="E44">
        <v>1002.8</v>
      </c>
      <c r="F44">
        <v>1002.8</v>
      </c>
      <c r="G44">
        <v>5797610</v>
      </c>
    </row>
    <row r="45" spans="1:7" x14ac:dyDescent="0.35">
      <c r="A45" s="40">
        <v>44272</v>
      </c>
      <c r="B45">
        <v>1032</v>
      </c>
      <c r="C45">
        <v>1039</v>
      </c>
      <c r="D45">
        <v>1002.6</v>
      </c>
      <c r="E45">
        <v>1008.95</v>
      </c>
      <c r="F45">
        <v>1008.95</v>
      </c>
      <c r="G45">
        <v>4712570</v>
      </c>
    </row>
    <row r="46" spans="1:7" x14ac:dyDescent="0.35">
      <c r="A46" s="40">
        <v>44271</v>
      </c>
      <c r="B46">
        <v>1045</v>
      </c>
      <c r="C46">
        <v>1049.9000000000001</v>
      </c>
      <c r="D46">
        <v>1028</v>
      </c>
      <c r="E46">
        <v>1034.7</v>
      </c>
      <c r="F46">
        <v>1034.7</v>
      </c>
      <c r="G46">
        <v>5161126</v>
      </c>
    </row>
    <row r="47" spans="1:7" x14ac:dyDescent="0.35">
      <c r="A47" s="40">
        <v>44270</v>
      </c>
      <c r="B47">
        <v>1027.8</v>
      </c>
      <c r="C47">
        <v>1043.5999999999999</v>
      </c>
      <c r="D47">
        <v>988.2</v>
      </c>
      <c r="E47">
        <v>1038.6500000000001</v>
      </c>
      <c r="F47">
        <v>1038.6500000000001</v>
      </c>
      <c r="G47">
        <v>8019663</v>
      </c>
    </row>
    <row r="48" spans="1:7" x14ac:dyDescent="0.35">
      <c r="A48" s="40">
        <v>44267</v>
      </c>
      <c r="B48">
        <v>1052</v>
      </c>
      <c r="C48">
        <v>1056.4000000000001</v>
      </c>
      <c r="D48">
        <v>1015.65</v>
      </c>
      <c r="E48">
        <v>1022.65</v>
      </c>
      <c r="F48">
        <v>1022.65</v>
      </c>
      <c r="G48">
        <v>5735382</v>
      </c>
    </row>
    <row r="49" spans="1:7" x14ac:dyDescent="0.35">
      <c r="A49" s="40">
        <v>44265</v>
      </c>
      <c r="B49">
        <v>1043.1500000000001</v>
      </c>
      <c r="C49">
        <v>1060</v>
      </c>
      <c r="D49">
        <v>1033.05</v>
      </c>
      <c r="E49">
        <v>1039.8499999999999</v>
      </c>
      <c r="F49">
        <v>1039.8499999999999</v>
      </c>
      <c r="G49">
        <v>8832614</v>
      </c>
    </row>
    <row r="50" spans="1:7" x14ac:dyDescent="0.35">
      <c r="A50" s="40">
        <v>44264</v>
      </c>
      <c r="B50">
        <v>1025.5999999999999</v>
      </c>
      <c r="C50">
        <v>1035.5999999999999</v>
      </c>
      <c r="D50">
        <v>1005</v>
      </c>
      <c r="E50">
        <v>1024.8</v>
      </c>
      <c r="F50">
        <v>1024.8</v>
      </c>
      <c r="G50">
        <v>9915907</v>
      </c>
    </row>
    <row r="51" spans="1:7" x14ac:dyDescent="0.35">
      <c r="A51" s="40">
        <v>44263</v>
      </c>
      <c r="B51">
        <v>1054</v>
      </c>
      <c r="C51">
        <v>1055.45</v>
      </c>
      <c r="D51">
        <v>1014.5</v>
      </c>
      <c r="E51">
        <v>1018.25</v>
      </c>
      <c r="F51">
        <v>1018.25</v>
      </c>
      <c r="G51">
        <v>10522267</v>
      </c>
    </row>
    <row r="52" spans="1:7" x14ac:dyDescent="0.35">
      <c r="A52" s="40">
        <v>44260</v>
      </c>
      <c r="B52">
        <v>1084</v>
      </c>
      <c r="C52">
        <v>1084</v>
      </c>
      <c r="D52">
        <v>1025.45</v>
      </c>
      <c r="E52">
        <v>1039.9000000000001</v>
      </c>
      <c r="F52">
        <v>1039.9000000000001</v>
      </c>
      <c r="G52">
        <v>13926140</v>
      </c>
    </row>
    <row r="53" spans="1:7" x14ac:dyDescent="0.35">
      <c r="A53" s="40">
        <v>44259</v>
      </c>
      <c r="B53">
        <v>1078</v>
      </c>
      <c r="C53">
        <v>1116</v>
      </c>
      <c r="D53">
        <v>1072.5999999999999</v>
      </c>
      <c r="E53">
        <v>1091.95</v>
      </c>
      <c r="F53">
        <v>1091.95</v>
      </c>
      <c r="G53">
        <v>6128220</v>
      </c>
    </row>
    <row r="54" spans="1:7" x14ac:dyDescent="0.35">
      <c r="A54" s="40">
        <v>44258</v>
      </c>
      <c r="B54">
        <v>1080</v>
      </c>
      <c r="C54">
        <v>1104</v>
      </c>
      <c r="D54">
        <v>1077.1500000000001</v>
      </c>
      <c r="E54">
        <v>1099.75</v>
      </c>
      <c r="F54">
        <v>1099.75</v>
      </c>
      <c r="G54">
        <v>5695638</v>
      </c>
    </row>
    <row r="55" spans="1:7" x14ac:dyDescent="0.35">
      <c r="A55" s="40">
        <v>44257</v>
      </c>
      <c r="B55">
        <v>1075</v>
      </c>
      <c r="C55">
        <v>1086.3</v>
      </c>
      <c r="D55">
        <v>1060</v>
      </c>
      <c r="E55">
        <v>1073.3499999999999</v>
      </c>
      <c r="F55">
        <v>1073.3499999999999</v>
      </c>
      <c r="G55">
        <v>4917345</v>
      </c>
    </row>
    <row r="56" spans="1:7" x14ac:dyDescent="0.35">
      <c r="A56" s="40">
        <v>44256</v>
      </c>
      <c r="B56">
        <v>1075</v>
      </c>
      <c r="C56">
        <v>1096.5999999999999</v>
      </c>
      <c r="D56">
        <v>1063.1500000000001</v>
      </c>
      <c r="E56">
        <v>1067.95</v>
      </c>
      <c r="F56">
        <v>1067.95</v>
      </c>
      <c r="G56">
        <v>6358886</v>
      </c>
    </row>
    <row r="57" spans="1:7" x14ac:dyDescent="0.35">
      <c r="A57" s="40">
        <v>44253</v>
      </c>
      <c r="B57">
        <v>1070</v>
      </c>
      <c r="C57">
        <v>1082.9000000000001</v>
      </c>
      <c r="D57">
        <v>1051.25</v>
      </c>
      <c r="E57">
        <v>1062.95</v>
      </c>
      <c r="F57">
        <v>1062.95</v>
      </c>
      <c r="G57">
        <v>12247085</v>
      </c>
    </row>
    <row r="58" spans="1:7" x14ac:dyDescent="0.35">
      <c r="A58" s="40">
        <v>44252</v>
      </c>
      <c r="B58">
        <v>1080</v>
      </c>
      <c r="C58">
        <v>1119.5</v>
      </c>
      <c r="D58">
        <v>1079</v>
      </c>
      <c r="E58">
        <v>1109.75</v>
      </c>
      <c r="F58">
        <v>1109.75</v>
      </c>
      <c r="G58">
        <v>12716781</v>
      </c>
    </row>
    <row r="59" spans="1:7" x14ac:dyDescent="0.35">
      <c r="A59" s="40">
        <v>44251</v>
      </c>
      <c r="B59">
        <v>1047.3</v>
      </c>
      <c r="C59">
        <v>1076</v>
      </c>
      <c r="D59">
        <v>1041.25</v>
      </c>
      <c r="E59">
        <v>1070</v>
      </c>
      <c r="F59">
        <v>1070</v>
      </c>
      <c r="G59">
        <v>6833820</v>
      </c>
    </row>
    <row r="60" spans="1:7" x14ac:dyDescent="0.35">
      <c r="A60" s="40">
        <v>44250</v>
      </c>
      <c r="B60">
        <v>1033.1500000000001</v>
      </c>
      <c r="C60">
        <v>1053.95</v>
      </c>
      <c r="D60">
        <v>1018</v>
      </c>
      <c r="E60">
        <v>1048.3</v>
      </c>
      <c r="F60">
        <v>1048.3</v>
      </c>
      <c r="G60">
        <v>7160332</v>
      </c>
    </row>
    <row r="61" spans="1:7" x14ac:dyDescent="0.35">
      <c r="A61" s="40">
        <v>44249</v>
      </c>
      <c r="B61">
        <v>1064.95</v>
      </c>
      <c r="C61">
        <v>1067.0999999999999</v>
      </c>
      <c r="D61">
        <v>1018</v>
      </c>
      <c r="E61">
        <v>1022.9</v>
      </c>
      <c r="F61">
        <v>1022.9</v>
      </c>
      <c r="G61">
        <v>9412265</v>
      </c>
    </row>
    <row r="62" spans="1:7" x14ac:dyDescent="0.35">
      <c r="A62" s="40">
        <v>44246</v>
      </c>
      <c r="B62">
        <v>1035</v>
      </c>
      <c r="C62">
        <v>1074.55</v>
      </c>
      <c r="D62">
        <v>1027.8</v>
      </c>
      <c r="E62">
        <v>1065.9000000000001</v>
      </c>
      <c r="F62">
        <v>1065.9000000000001</v>
      </c>
      <c r="G62">
        <v>14557527</v>
      </c>
    </row>
    <row r="63" spans="1:7" x14ac:dyDescent="0.35">
      <c r="A63" s="40">
        <v>44245</v>
      </c>
      <c r="B63">
        <v>1045</v>
      </c>
      <c r="C63">
        <v>1055.4000000000001</v>
      </c>
      <c r="D63">
        <v>1033.4000000000001</v>
      </c>
      <c r="E63">
        <v>1046.05</v>
      </c>
      <c r="F63">
        <v>1046.05</v>
      </c>
      <c r="G63">
        <v>8911120</v>
      </c>
    </row>
    <row r="64" spans="1:7" x14ac:dyDescent="0.35">
      <c r="A64" s="40">
        <v>44244</v>
      </c>
      <c r="B64">
        <v>1080</v>
      </c>
      <c r="C64">
        <v>1085</v>
      </c>
      <c r="D64">
        <v>1026.2</v>
      </c>
      <c r="E64">
        <v>1033.2</v>
      </c>
      <c r="F64">
        <v>1033.2</v>
      </c>
      <c r="G64">
        <v>13855321</v>
      </c>
    </row>
    <row r="65" spans="1:7" x14ac:dyDescent="0.35">
      <c r="A65" s="40">
        <v>44243</v>
      </c>
      <c r="B65">
        <v>1068</v>
      </c>
      <c r="C65">
        <v>1096.5</v>
      </c>
      <c r="D65">
        <v>1041.0999999999999</v>
      </c>
      <c r="E65">
        <v>1058.25</v>
      </c>
      <c r="F65">
        <v>1058.25</v>
      </c>
      <c r="G65">
        <v>13883441</v>
      </c>
    </row>
    <row r="66" spans="1:7" x14ac:dyDescent="0.35">
      <c r="A66" s="40">
        <v>44242</v>
      </c>
      <c r="B66">
        <v>1044.9000000000001</v>
      </c>
      <c r="C66">
        <v>1063</v>
      </c>
      <c r="D66">
        <v>1037.7</v>
      </c>
      <c r="E66">
        <v>1057.5999999999999</v>
      </c>
      <c r="F66">
        <v>1057.5999999999999</v>
      </c>
      <c r="G66">
        <v>9121286</v>
      </c>
    </row>
    <row r="67" spans="1:7" x14ac:dyDescent="0.35">
      <c r="A67" s="40">
        <v>44239</v>
      </c>
      <c r="B67">
        <v>1023.8</v>
      </c>
      <c r="C67">
        <v>1059.5</v>
      </c>
      <c r="D67">
        <v>1012</v>
      </c>
      <c r="E67">
        <v>1027.4000000000001</v>
      </c>
      <c r="F67">
        <v>1027.4000000000001</v>
      </c>
      <c r="G67">
        <v>13959383</v>
      </c>
    </row>
    <row r="68" spans="1:7" x14ac:dyDescent="0.35">
      <c r="A68" s="40">
        <v>44238</v>
      </c>
      <c r="B68">
        <v>1025</v>
      </c>
      <c r="C68">
        <v>1036</v>
      </c>
      <c r="D68">
        <v>1015.3</v>
      </c>
      <c r="E68">
        <v>1021.9</v>
      </c>
      <c r="F68">
        <v>1021.9</v>
      </c>
      <c r="G68">
        <v>5760021</v>
      </c>
    </row>
    <row r="69" spans="1:7" x14ac:dyDescent="0.35">
      <c r="A69" s="40">
        <v>44237</v>
      </c>
      <c r="B69">
        <v>1035</v>
      </c>
      <c r="C69">
        <v>1038.45</v>
      </c>
      <c r="D69">
        <v>1003.6</v>
      </c>
      <c r="E69">
        <v>1022.8</v>
      </c>
      <c r="F69">
        <v>1022.8</v>
      </c>
      <c r="G69">
        <v>7815034</v>
      </c>
    </row>
    <row r="70" spans="1:7" x14ac:dyDescent="0.35">
      <c r="A70" s="40">
        <v>44236</v>
      </c>
      <c r="B70">
        <v>1044</v>
      </c>
      <c r="C70">
        <v>1051.5999999999999</v>
      </c>
      <c r="D70">
        <v>1020</v>
      </c>
      <c r="E70">
        <v>1025.8</v>
      </c>
      <c r="F70">
        <v>1025.8</v>
      </c>
      <c r="G70">
        <v>7984133</v>
      </c>
    </row>
    <row r="71" spans="1:7" x14ac:dyDescent="0.35">
      <c r="A71" s="40">
        <v>44235</v>
      </c>
      <c r="B71">
        <v>1036.05</v>
      </c>
      <c r="C71">
        <v>1055</v>
      </c>
      <c r="D71">
        <v>1028</v>
      </c>
      <c r="E71">
        <v>1035.0999999999999</v>
      </c>
      <c r="F71">
        <v>1035.0999999999999</v>
      </c>
      <c r="G71">
        <v>7162284</v>
      </c>
    </row>
    <row r="72" spans="1:7" x14ac:dyDescent="0.35">
      <c r="A72" s="40">
        <v>44232</v>
      </c>
      <c r="B72">
        <v>1045</v>
      </c>
      <c r="C72">
        <v>1085</v>
      </c>
      <c r="D72">
        <v>1016.3</v>
      </c>
      <c r="E72">
        <v>1025.0999999999999</v>
      </c>
      <c r="F72">
        <v>1025.0999999999999</v>
      </c>
      <c r="G72">
        <v>19524257</v>
      </c>
    </row>
    <row r="73" spans="1:7" x14ac:dyDescent="0.35">
      <c r="A73" s="40">
        <v>44231</v>
      </c>
      <c r="B73">
        <v>1034.9000000000001</v>
      </c>
      <c r="C73">
        <v>1042</v>
      </c>
      <c r="D73">
        <v>1016</v>
      </c>
      <c r="E73">
        <v>1032.1500000000001</v>
      </c>
      <c r="F73">
        <v>1032.1500000000001</v>
      </c>
      <c r="G73">
        <v>13666242</v>
      </c>
    </row>
    <row r="74" spans="1:7" x14ac:dyDescent="0.35">
      <c r="A74" s="40">
        <v>44230</v>
      </c>
      <c r="B74">
        <v>980</v>
      </c>
      <c r="C74">
        <v>1080.8</v>
      </c>
      <c r="D74">
        <v>972.2</v>
      </c>
      <c r="E74">
        <v>1048.55</v>
      </c>
      <c r="F74">
        <v>1048.55</v>
      </c>
      <c r="G74">
        <v>34995822</v>
      </c>
    </row>
    <row r="75" spans="1:7" x14ac:dyDescent="0.35">
      <c r="A75" s="40">
        <v>44229</v>
      </c>
      <c r="B75">
        <v>982.4</v>
      </c>
      <c r="C75">
        <v>999</v>
      </c>
      <c r="D75">
        <v>949.3</v>
      </c>
      <c r="E75">
        <v>975.65</v>
      </c>
      <c r="F75">
        <v>975.65</v>
      </c>
      <c r="G75">
        <v>20556081</v>
      </c>
    </row>
    <row r="76" spans="1:7" x14ac:dyDescent="0.35">
      <c r="A76" s="40">
        <v>44228</v>
      </c>
      <c r="B76">
        <v>859</v>
      </c>
      <c r="C76">
        <v>981.4</v>
      </c>
      <c r="D76">
        <v>856</v>
      </c>
      <c r="E76">
        <v>970.6</v>
      </c>
      <c r="F76">
        <v>970.6</v>
      </c>
      <c r="G76">
        <v>38067807</v>
      </c>
    </row>
    <row r="77" spans="1:7" x14ac:dyDescent="0.35">
      <c r="A77" s="40">
        <v>44225</v>
      </c>
      <c r="B77">
        <v>817.1</v>
      </c>
      <c r="C77">
        <v>860.85</v>
      </c>
      <c r="D77">
        <v>815.65</v>
      </c>
      <c r="E77">
        <v>846.1</v>
      </c>
      <c r="F77">
        <v>846.1</v>
      </c>
      <c r="G77">
        <v>19305853</v>
      </c>
    </row>
    <row r="78" spans="1:7" x14ac:dyDescent="0.35">
      <c r="A78" s="40">
        <v>44224</v>
      </c>
      <c r="B78">
        <v>801.3</v>
      </c>
      <c r="C78">
        <v>828.85</v>
      </c>
      <c r="D78">
        <v>789</v>
      </c>
      <c r="E78">
        <v>802.6</v>
      </c>
      <c r="F78">
        <v>802.6</v>
      </c>
      <c r="G78">
        <v>13789865</v>
      </c>
    </row>
    <row r="79" spans="1:7" x14ac:dyDescent="0.35">
      <c r="A79" s="40">
        <v>44223</v>
      </c>
      <c r="B79">
        <v>848</v>
      </c>
      <c r="C79">
        <v>860.8</v>
      </c>
      <c r="D79">
        <v>806</v>
      </c>
      <c r="E79">
        <v>820.15</v>
      </c>
      <c r="F79">
        <v>820.15</v>
      </c>
      <c r="G79">
        <v>15810173</v>
      </c>
    </row>
    <row r="80" spans="1:7" x14ac:dyDescent="0.35">
      <c r="A80" s="40">
        <v>44221</v>
      </c>
      <c r="B80">
        <v>906</v>
      </c>
      <c r="C80">
        <v>912.35</v>
      </c>
      <c r="D80">
        <v>839.2</v>
      </c>
      <c r="E80">
        <v>849.15</v>
      </c>
      <c r="F80">
        <v>849.15</v>
      </c>
      <c r="G80">
        <v>11829328</v>
      </c>
    </row>
    <row r="81" spans="1:7" x14ac:dyDescent="0.35">
      <c r="A81" s="40">
        <v>44218</v>
      </c>
      <c r="B81">
        <v>930</v>
      </c>
      <c r="C81">
        <v>934</v>
      </c>
      <c r="D81">
        <v>890</v>
      </c>
      <c r="E81">
        <v>893.3</v>
      </c>
      <c r="F81">
        <v>893.3</v>
      </c>
      <c r="G81">
        <v>11366492</v>
      </c>
    </row>
    <row r="82" spans="1:7" x14ac:dyDescent="0.35">
      <c r="A82" s="40">
        <v>44217</v>
      </c>
      <c r="B82">
        <v>959.4</v>
      </c>
      <c r="C82">
        <v>967</v>
      </c>
      <c r="D82">
        <v>918.25</v>
      </c>
      <c r="E82">
        <v>925.85</v>
      </c>
      <c r="F82">
        <v>925.85</v>
      </c>
      <c r="G82">
        <v>8216362</v>
      </c>
    </row>
    <row r="83" spans="1:7" x14ac:dyDescent="0.35">
      <c r="A83" s="40">
        <v>44216</v>
      </c>
      <c r="B83">
        <v>936.9</v>
      </c>
      <c r="C83">
        <v>953.85</v>
      </c>
      <c r="D83">
        <v>928.25</v>
      </c>
      <c r="E83">
        <v>947.7</v>
      </c>
      <c r="F83">
        <v>947.7</v>
      </c>
      <c r="G83">
        <v>7004445</v>
      </c>
    </row>
    <row r="84" spans="1:7" x14ac:dyDescent="0.35">
      <c r="A84" s="40">
        <v>44215</v>
      </c>
      <c r="B84">
        <v>942.05</v>
      </c>
      <c r="C84">
        <v>952</v>
      </c>
      <c r="D84">
        <v>936.25</v>
      </c>
      <c r="E84">
        <v>939.9</v>
      </c>
      <c r="F84">
        <v>939.9</v>
      </c>
      <c r="G84">
        <v>6309233</v>
      </c>
    </row>
    <row r="85" spans="1:7" x14ac:dyDescent="0.35">
      <c r="A85" s="40">
        <v>44214</v>
      </c>
      <c r="B85">
        <v>959</v>
      </c>
      <c r="C85">
        <v>960</v>
      </c>
      <c r="D85">
        <v>924</v>
      </c>
      <c r="E85">
        <v>932.8</v>
      </c>
      <c r="F85">
        <v>932.8</v>
      </c>
      <c r="G85">
        <v>10668611</v>
      </c>
    </row>
    <row r="86" spans="1:7" x14ac:dyDescent="0.35">
      <c r="A86" s="40">
        <v>44211</v>
      </c>
      <c r="B86">
        <v>974</v>
      </c>
      <c r="C86">
        <v>983</v>
      </c>
      <c r="D86">
        <v>953.45</v>
      </c>
      <c r="E86">
        <v>965.9</v>
      </c>
      <c r="F86">
        <v>965.9</v>
      </c>
      <c r="G86">
        <v>9195430</v>
      </c>
    </row>
    <row r="87" spans="1:7" x14ac:dyDescent="0.35">
      <c r="A87" s="40">
        <v>44210</v>
      </c>
      <c r="B87">
        <v>953</v>
      </c>
      <c r="C87">
        <v>980.7</v>
      </c>
      <c r="D87">
        <v>951.25</v>
      </c>
      <c r="E87">
        <v>969.7</v>
      </c>
      <c r="F87">
        <v>969.7</v>
      </c>
      <c r="G87">
        <v>14887258</v>
      </c>
    </row>
    <row r="88" spans="1:7" x14ac:dyDescent="0.35">
      <c r="A88" s="40">
        <v>44209</v>
      </c>
      <c r="B88">
        <v>932.8</v>
      </c>
      <c r="C88">
        <v>953.5</v>
      </c>
      <c r="D88">
        <v>926.15</v>
      </c>
      <c r="E88">
        <v>942.75</v>
      </c>
      <c r="F88">
        <v>942.75</v>
      </c>
      <c r="G88">
        <v>9473962</v>
      </c>
    </row>
    <row r="89" spans="1:7" x14ac:dyDescent="0.35">
      <c r="A89" s="40">
        <v>44208</v>
      </c>
      <c r="B89">
        <v>920</v>
      </c>
      <c r="C89">
        <v>941.5</v>
      </c>
      <c r="D89">
        <v>906.55</v>
      </c>
      <c r="E89">
        <v>927.65</v>
      </c>
      <c r="F89">
        <v>927.65</v>
      </c>
      <c r="G89">
        <v>8805330</v>
      </c>
    </row>
    <row r="90" spans="1:7" x14ac:dyDescent="0.35">
      <c r="A90" s="40">
        <v>44207</v>
      </c>
      <c r="B90">
        <v>942.9</v>
      </c>
      <c r="C90">
        <v>950.95</v>
      </c>
      <c r="D90">
        <v>926.2</v>
      </c>
      <c r="E90">
        <v>929.1</v>
      </c>
      <c r="F90">
        <v>929.1</v>
      </c>
      <c r="G90">
        <v>8419415</v>
      </c>
    </row>
    <row r="91" spans="1:7" x14ac:dyDescent="0.35">
      <c r="A91" s="40">
        <v>44204</v>
      </c>
      <c r="B91">
        <v>965</v>
      </c>
      <c r="C91">
        <v>976</v>
      </c>
      <c r="D91">
        <v>932.1</v>
      </c>
      <c r="E91">
        <v>939.8</v>
      </c>
      <c r="F91">
        <v>939.8</v>
      </c>
      <c r="G91">
        <v>10838196</v>
      </c>
    </row>
    <row r="92" spans="1:7" x14ac:dyDescent="0.35">
      <c r="A92" s="40">
        <v>44203</v>
      </c>
      <c r="B92">
        <v>935</v>
      </c>
      <c r="C92">
        <v>961.65</v>
      </c>
      <c r="D92">
        <v>931.1</v>
      </c>
      <c r="E92">
        <v>952.05</v>
      </c>
      <c r="F92">
        <v>952.05</v>
      </c>
      <c r="G92">
        <v>12154311</v>
      </c>
    </row>
    <row r="93" spans="1:7" x14ac:dyDescent="0.35">
      <c r="A93" s="40">
        <v>44202</v>
      </c>
      <c r="B93">
        <v>924.95</v>
      </c>
      <c r="C93">
        <v>936.75</v>
      </c>
      <c r="D93">
        <v>909.4</v>
      </c>
      <c r="E93">
        <v>922.35</v>
      </c>
      <c r="F93">
        <v>922.35</v>
      </c>
      <c r="G93">
        <v>9768197</v>
      </c>
    </row>
    <row r="94" spans="1:7" x14ac:dyDescent="0.35">
      <c r="A94" s="40">
        <v>44201</v>
      </c>
      <c r="B94">
        <v>891.7</v>
      </c>
      <c r="C94">
        <v>927.35</v>
      </c>
      <c r="D94">
        <v>883</v>
      </c>
      <c r="E94">
        <v>921.65</v>
      </c>
      <c r="F94">
        <v>921.65</v>
      </c>
      <c r="G94">
        <v>11907501</v>
      </c>
    </row>
    <row r="95" spans="1:7" x14ac:dyDescent="0.35">
      <c r="A95" s="40">
        <v>44200</v>
      </c>
      <c r="B95">
        <v>910</v>
      </c>
      <c r="C95">
        <v>914</v>
      </c>
      <c r="D95">
        <v>887.45</v>
      </c>
      <c r="E95">
        <v>897.85</v>
      </c>
      <c r="F95">
        <v>897.85</v>
      </c>
      <c r="G95">
        <v>6991890</v>
      </c>
    </row>
    <row r="96" spans="1:7" x14ac:dyDescent="0.35">
      <c r="A96" s="40">
        <v>44197</v>
      </c>
      <c r="B96">
        <v>895</v>
      </c>
      <c r="C96">
        <v>904</v>
      </c>
      <c r="D96">
        <v>893.05</v>
      </c>
      <c r="E96">
        <v>900.15</v>
      </c>
      <c r="F96">
        <v>900.15</v>
      </c>
      <c r="G96">
        <v>4632855</v>
      </c>
    </row>
    <row r="97" spans="1:7" x14ac:dyDescent="0.35">
      <c r="A97" s="40">
        <v>44196</v>
      </c>
      <c r="B97">
        <v>904</v>
      </c>
      <c r="C97">
        <v>906.9</v>
      </c>
      <c r="D97">
        <v>890.05</v>
      </c>
      <c r="E97">
        <v>894.95</v>
      </c>
      <c r="F97">
        <v>894.95</v>
      </c>
      <c r="G97">
        <v>6435333</v>
      </c>
    </row>
    <row r="98" spans="1:7" x14ac:dyDescent="0.35">
      <c r="A98" s="40">
        <v>44195</v>
      </c>
      <c r="B98">
        <v>919.05</v>
      </c>
      <c r="C98">
        <v>922.7</v>
      </c>
      <c r="D98">
        <v>888</v>
      </c>
      <c r="E98">
        <v>899.05</v>
      </c>
      <c r="F98">
        <v>899.05</v>
      </c>
      <c r="G98">
        <v>11462263</v>
      </c>
    </row>
    <row r="99" spans="1:7" x14ac:dyDescent="0.35">
      <c r="A99" s="40">
        <v>44194</v>
      </c>
      <c r="B99">
        <v>875</v>
      </c>
      <c r="C99">
        <v>917.65</v>
      </c>
      <c r="D99">
        <v>873.5</v>
      </c>
      <c r="E99">
        <v>912.9</v>
      </c>
      <c r="F99">
        <v>912.9</v>
      </c>
      <c r="G99">
        <v>20727636</v>
      </c>
    </row>
    <row r="100" spans="1:7" x14ac:dyDescent="0.35">
      <c r="A100" s="40">
        <v>44193</v>
      </c>
      <c r="B100">
        <v>855</v>
      </c>
      <c r="C100">
        <v>871</v>
      </c>
      <c r="D100">
        <v>853</v>
      </c>
      <c r="E100">
        <v>866.95</v>
      </c>
      <c r="F100">
        <v>866.95</v>
      </c>
      <c r="G100">
        <v>5449095</v>
      </c>
    </row>
    <row r="101" spans="1:7" x14ac:dyDescent="0.35">
      <c r="A101" s="40">
        <v>44189</v>
      </c>
      <c r="B101">
        <v>862</v>
      </c>
      <c r="C101">
        <v>870</v>
      </c>
      <c r="D101">
        <v>849.1</v>
      </c>
      <c r="E101">
        <v>852.8</v>
      </c>
      <c r="F101">
        <v>852.8</v>
      </c>
      <c r="G101">
        <v>10293688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ACB9C-3F5E-4977-B908-9DCE8E0A8F3D}">
  <sheetPr codeName="Sheet11"/>
  <dimension ref="A1:G101"/>
  <sheetViews>
    <sheetView workbookViewId="0"/>
  </sheetViews>
  <sheetFormatPr defaultColWidth="8.83203125" defaultRowHeight="14.5" x14ac:dyDescent="0.35"/>
  <cols>
    <col min="1" max="1" width="10" customWidth="1"/>
    <col min="2" max="4" width="7.58203125" customWidth="1"/>
    <col min="5" max="5" width="8.5" customWidth="1"/>
    <col min="6" max="6" width="13" customWidth="1"/>
    <col min="7" max="7" width="9.5" customWidth="1"/>
  </cols>
  <sheetData>
    <row r="1" spans="1:7" x14ac:dyDescent="0.35">
      <c r="A1" t="s">
        <v>32</v>
      </c>
      <c r="B1" t="s">
        <v>33</v>
      </c>
      <c r="C1" t="s">
        <v>34</v>
      </c>
      <c r="D1" t="s">
        <v>35</v>
      </c>
      <c r="E1" t="s">
        <v>36</v>
      </c>
      <c r="F1" t="s">
        <v>37</v>
      </c>
      <c r="G1" t="s">
        <v>38</v>
      </c>
    </row>
    <row r="2" spans="1:7" x14ac:dyDescent="0.35">
      <c r="A2" s="40">
        <v>44340</v>
      </c>
      <c r="B2">
        <v>1771.65</v>
      </c>
      <c r="C2">
        <v>1802</v>
      </c>
      <c r="D2">
        <v>1750</v>
      </c>
      <c r="E2">
        <v>1787.15</v>
      </c>
      <c r="F2">
        <v>1787.15</v>
      </c>
      <c r="G2">
        <v>849999</v>
      </c>
    </row>
    <row r="3" spans="1:7" x14ac:dyDescent="0.35">
      <c r="A3" s="40">
        <v>44337</v>
      </c>
      <c r="B3">
        <v>1791</v>
      </c>
      <c r="C3">
        <v>1798.75</v>
      </c>
      <c r="D3">
        <v>1756.75</v>
      </c>
      <c r="E3">
        <v>1762.15</v>
      </c>
      <c r="F3">
        <v>1762.15</v>
      </c>
      <c r="G3">
        <v>840640</v>
      </c>
    </row>
    <row r="4" spans="1:7" x14ac:dyDescent="0.35">
      <c r="A4" s="40">
        <v>44336</v>
      </c>
      <c r="B4">
        <v>1791.65</v>
      </c>
      <c r="C4">
        <v>1809.5</v>
      </c>
      <c r="D4">
        <v>1755</v>
      </c>
      <c r="E4">
        <v>1774.2</v>
      </c>
      <c r="F4">
        <v>1774.2</v>
      </c>
      <c r="G4">
        <v>670793</v>
      </c>
    </row>
    <row r="5" spans="1:7" x14ac:dyDescent="0.35">
      <c r="A5" s="40">
        <v>44335</v>
      </c>
      <c r="B5">
        <v>1800</v>
      </c>
      <c r="C5">
        <v>1824</v>
      </c>
      <c r="D5">
        <v>1765.2</v>
      </c>
      <c r="E5">
        <v>1775.4</v>
      </c>
      <c r="F5">
        <v>1775.4</v>
      </c>
      <c r="G5">
        <v>916464</v>
      </c>
    </row>
    <row r="6" spans="1:7" x14ac:dyDescent="0.35">
      <c r="A6" s="40">
        <v>44334</v>
      </c>
      <c r="B6">
        <v>1742.95</v>
      </c>
      <c r="C6">
        <v>1837</v>
      </c>
      <c r="D6">
        <v>1729.2</v>
      </c>
      <c r="E6">
        <v>1794.3</v>
      </c>
      <c r="F6">
        <v>1794.3</v>
      </c>
      <c r="G6">
        <v>2668035</v>
      </c>
    </row>
    <row r="7" spans="1:7" x14ac:dyDescent="0.35">
      <c r="A7" s="40">
        <v>44333</v>
      </c>
      <c r="B7">
        <v>1734.95</v>
      </c>
      <c r="C7">
        <v>1764.5</v>
      </c>
      <c r="D7">
        <v>1714</v>
      </c>
      <c r="E7">
        <v>1718.65</v>
      </c>
      <c r="F7">
        <v>1718.65</v>
      </c>
      <c r="G7">
        <v>854158</v>
      </c>
    </row>
    <row r="8" spans="1:7" x14ac:dyDescent="0.35">
      <c r="A8" s="40">
        <v>44330</v>
      </c>
      <c r="B8">
        <v>1806</v>
      </c>
      <c r="C8">
        <v>1809.35</v>
      </c>
      <c r="D8">
        <v>1712</v>
      </c>
      <c r="E8">
        <v>1728.1</v>
      </c>
      <c r="F8">
        <v>1728.1</v>
      </c>
      <c r="G8">
        <v>1047386</v>
      </c>
    </row>
    <row r="9" spans="1:7" x14ac:dyDescent="0.35">
      <c r="A9" s="40">
        <v>44328</v>
      </c>
      <c r="B9">
        <v>1797.45</v>
      </c>
      <c r="C9">
        <v>1813.65</v>
      </c>
      <c r="D9">
        <v>1776.35</v>
      </c>
      <c r="E9">
        <v>1791.3</v>
      </c>
      <c r="F9">
        <v>1791.3</v>
      </c>
      <c r="G9">
        <v>893835</v>
      </c>
    </row>
    <row r="10" spans="1:7" x14ac:dyDescent="0.35">
      <c r="A10" s="40">
        <v>44327</v>
      </c>
      <c r="B10">
        <v>1768</v>
      </c>
      <c r="C10">
        <v>1829.2</v>
      </c>
      <c r="D10">
        <v>1755.8</v>
      </c>
      <c r="E10">
        <v>1797.45</v>
      </c>
      <c r="F10">
        <v>1797.45</v>
      </c>
      <c r="G10">
        <v>1270066</v>
      </c>
    </row>
    <row r="11" spans="1:7" x14ac:dyDescent="0.35">
      <c r="A11" s="40">
        <v>44326</v>
      </c>
      <c r="B11">
        <v>1820.05</v>
      </c>
      <c r="C11">
        <v>1825</v>
      </c>
      <c r="D11">
        <v>1771</v>
      </c>
      <c r="E11">
        <v>1775.8</v>
      </c>
      <c r="F11">
        <v>1775.8</v>
      </c>
      <c r="G11">
        <v>1501458</v>
      </c>
    </row>
    <row r="12" spans="1:7" x14ac:dyDescent="0.35">
      <c r="A12" s="40">
        <v>44323</v>
      </c>
      <c r="B12">
        <v>1900.7</v>
      </c>
      <c r="C12">
        <v>1918.6</v>
      </c>
      <c r="D12">
        <v>1792.15</v>
      </c>
      <c r="E12">
        <v>1803.05</v>
      </c>
      <c r="F12">
        <v>1803.05</v>
      </c>
      <c r="G12">
        <v>2537304</v>
      </c>
    </row>
    <row r="13" spans="1:7" x14ac:dyDescent="0.35">
      <c r="A13" s="40">
        <v>44322</v>
      </c>
      <c r="B13">
        <v>1960</v>
      </c>
      <c r="C13">
        <v>1988</v>
      </c>
      <c r="D13">
        <v>1881</v>
      </c>
      <c r="E13">
        <v>1891.2</v>
      </c>
      <c r="F13">
        <v>1891.2</v>
      </c>
      <c r="G13">
        <v>3165908</v>
      </c>
    </row>
    <row r="14" spans="1:7" x14ac:dyDescent="0.35">
      <c r="A14" s="40">
        <v>44321</v>
      </c>
      <c r="B14">
        <v>1864</v>
      </c>
      <c r="C14">
        <v>1924.9</v>
      </c>
      <c r="D14">
        <v>1845</v>
      </c>
      <c r="E14">
        <v>1904</v>
      </c>
      <c r="F14">
        <v>1904</v>
      </c>
      <c r="G14">
        <v>1257678</v>
      </c>
    </row>
    <row r="15" spans="1:7" x14ac:dyDescent="0.35">
      <c r="A15" s="40">
        <v>44320</v>
      </c>
      <c r="B15">
        <v>1923.05</v>
      </c>
      <c r="C15">
        <v>1943.9</v>
      </c>
      <c r="D15">
        <v>1840.55</v>
      </c>
      <c r="E15">
        <v>1863.75</v>
      </c>
      <c r="F15">
        <v>1863.75</v>
      </c>
      <c r="G15">
        <v>1554705</v>
      </c>
    </row>
    <row r="16" spans="1:7" x14ac:dyDescent="0.35">
      <c r="A16" s="40">
        <v>44319</v>
      </c>
      <c r="B16">
        <v>1865.6</v>
      </c>
      <c r="C16">
        <v>1955</v>
      </c>
      <c r="D16">
        <v>1855.6</v>
      </c>
      <c r="E16">
        <v>1904.1</v>
      </c>
      <c r="F16">
        <v>1904.1</v>
      </c>
      <c r="G16">
        <v>2911349</v>
      </c>
    </row>
    <row r="17" spans="1:7" x14ac:dyDescent="0.35">
      <c r="A17" s="40">
        <v>44316</v>
      </c>
      <c r="B17">
        <v>1787</v>
      </c>
      <c r="C17">
        <v>1900</v>
      </c>
      <c r="D17">
        <v>1767.9</v>
      </c>
      <c r="E17">
        <v>1865.6</v>
      </c>
      <c r="F17">
        <v>1865.6</v>
      </c>
      <c r="G17">
        <v>2623486</v>
      </c>
    </row>
    <row r="18" spans="1:7" x14ac:dyDescent="0.35">
      <c r="A18" s="40">
        <v>44315</v>
      </c>
      <c r="B18">
        <v>1800</v>
      </c>
      <c r="C18">
        <v>1827.7</v>
      </c>
      <c r="D18">
        <v>1775.05</v>
      </c>
      <c r="E18">
        <v>1787.25</v>
      </c>
      <c r="F18">
        <v>1787.25</v>
      </c>
      <c r="G18">
        <v>1225613</v>
      </c>
    </row>
    <row r="19" spans="1:7" x14ac:dyDescent="0.35">
      <c r="A19" s="40">
        <v>44314</v>
      </c>
      <c r="B19">
        <v>1805</v>
      </c>
      <c r="C19">
        <v>1850</v>
      </c>
      <c r="D19">
        <v>1755</v>
      </c>
      <c r="E19">
        <v>1780.45</v>
      </c>
      <c r="F19">
        <v>1780.45</v>
      </c>
      <c r="G19">
        <v>3388293</v>
      </c>
    </row>
    <row r="20" spans="1:7" x14ac:dyDescent="0.35">
      <c r="A20" s="40">
        <v>44313</v>
      </c>
      <c r="B20">
        <v>1650</v>
      </c>
      <c r="C20">
        <v>1795</v>
      </c>
      <c r="D20">
        <v>1650</v>
      </c>
      <c r="E20">
        <v>1782.55</v>
      </c>
      <c r="F20">
        <v>1782.55</v>
      </c>
      <c r="G20">
        <v>4531215</v>
      </c>
    </row>
    <row r="21" spans="1:7" x14ac:dyDescent="0.35">
      <c r="A21" s="40">
        <v>44312</v>
      </c>
      <c r="B21">
        <v>1648.4</v>
      </c>
      <c r="C21">
        <v>1654.6</v>
      </c>
      <c r="D21">
        <v>1607</v>
      </c>
      <c r="E21">
        <v>1637.5</v>
      </c>
      <c r="F21">
        <v>1637.5</v>
      </c>
      <c r="G21">
        <v>1464576</v>
      </c>
    </row>
    <row r="22" spans="1:7" x14ac:dyDescent="0.35">
      <c r="A22" s="40">
        <v>44309</v>
      </c>
      <c r="B22">
        <v>1611.55</v>
      </c>
      <c r="C22">
        <v>1673.85</v>
      </c>
      <c r="D22">
        <v>1607.35</v>
      </c>
      <c r="E22">
        <v>1627.85</v>
      </c>
      <c r="F22">
        <v>1627.85</v>
      </c>
      <c r="G22">
        <v>1531076</v>
      </c>
    </row>
    <row r="23" spans="1:7" x14ac:dyDescent="0.35">
      <c r="A23" s="40">
        <v>44308</v>
      </c>
      <c r="B23">
        <v>1552</v>
      </c>
      <c r="C23">
        <v>1609</v>
      </c>
      <c r="D23">
        <v>1550</v>
      </c>
      <c r="E23">
        <v>1598.55</v>
      </c>
      <c r="F23">
        <v>1598.55</v>
      </c>
      <c r="G23">
        <v>598104</v>
      </c>
    </row>
    <row r="24" spans="1:7" x14ac:dyDescent="0.35">
      <c r="A24" s="40">
        <v>44306</v>
      </c>
      <c r="B24">
        <v>1585.6</v>
      </c>
      <c r="C24">
        <v>1595.75</v>
      </c>
      <c r="D24">
        <v>1550</v>
      </c>
      <c r="E24">
        <v>1559.85</v>
      </c>
      <c r="F24">
        <v>1559.85</v>
      </c>
      <c r="G24">
        <v>430408</v>
      </c>
    </row>
    <row r="25" spans="1:7" x14ac:dyDescent="0.35">
      <c r="A25" s="40">
        <v>44305</v>
      </c>
      <c r="B25">
        <v>1549.6</v>
      </c>
      <c r="C25">
        <v>1571.9</v>
      </c>
      <c r="D25">
        <v>1533.25</v>
      </c>
      <c r="E25">
        <v>1558.85</v>
      </c>
      <c r="F25">
        <v>1558.85</v>
      </c>
      <c r="G25">
        <v>469972</v>
      </c>
    </row>
    <row r="26" spans="1:7" x14ac:dyDescent="0.35">
      <c r="A26" s="40">
        <v>44302</v>
      </c>
      <c r="B26">
        <v>1614.95</v>
      </c>
      <c r="C26">
        <v>1625</v>
      </c>
      <c r="D26">
        <v>1582</v>
      </c>
      <c r="E26">
        <v>1587.95</v>
      </c>
      <c r="F26">
        <v>1587.95</v>
      </c>
      <c r="G26">
        <v>790412</v>
      </c>
    </row>
    <row r="27" spans="1:7" x14ac:dyDescent="0.35">
      <c r="A27" s="40">
        <v>44301</v>
      </c>
      <c r="B27">
        <v>1587</v>
      </c>
      <c r="C27">
        <v>1615.85</v>
      </c>
      <c r="D27">
        <v>1557</v>
      </c>
      <c r="E27">
        <v>1608.15</v>
      </c>
      <c r="F27">
        <v>1608.15</v>
      </c>
      <c r="G27">
        <v>651992</v>
      </c>
    </row>
    <row r="28" spans="1:7" x14ac:dyDescent="0.35">
      <c r="A28" s="40">
        <v>44299</v>
      </c>
      <c r="B28">
        <v>1596</v>
      </c>
      <c r="C28">
        <v>1627.5</v>
      </c>
      <c r="D28">
        <v>1568.4</v>
      </c>
      <c r="E28">
        <v>1587.1</v>
      </c>
      <c r="F28">
        <v>1587.1</v>
      </c>
      <c r="G28">
        <v>785135</v>
      </c>
    </row>
    <row r="29" spans="1:7" x14ac:dyDescent="0.35">
      <c r="A29" s="40">
        <v>44298</v>
      </c>
      <c r="B29">
        <v>1670</v>
      </c>
      <c r="C29">
        <v>1670</v>
      </c>
      <c r="D29">
        <v>1573.35</v>
      </c>
      <c r="E29">
        <v>1582.8</v>
      </c>
      <c r="F29">
        <v>1582.8</v>
      </c>
      <c r="G29">
        <v>815976</v>
      </c>
    </row>
    <row r="30" spans="1:7" x14ac:dyDescent="0.35">
      <c r="A30" s="40">
        <v>44295</v>
      </c>
      <c r="B30">
        <v>1707</v>
      </c>
      <c r="C30">
        <v>1723.65</v>
      </c>
      <c r="D30">
        <v>1674.65</v>
      </c>
      <c r="E30">
        <v>1681.25</v>
      </c>
      <c r="F30">
        <v>1681.25</v>
      </c>
      <c r="G30">
        <v>721294</v>
      </c>
    </row>
    <row r="31" spans="1:7" x14ac:dyDescent="0.35">
      <c r="A31" s="40">
        <v>44294</v>
      </c>
      <c r="B31">
        <v>1706.45</v>
      </c>
      <c r="C31">
        <v>1750</v>
      </c>
      <c r="D31">
        <v>1703.05</v>
      </c>
      <c r="E31">
        <v>1712.1</v>
      </c>
      <c r="F31">
        <v>1712.1</v>
      </c>
      <c r="G31">
        <v>1245796</v>
      </c>
    </row>
    <row r="32" spans="1:7" x14ac:dyDescent="0.35">
      <c r="A32" s="40">
        <v>44293</v>
      </c>
      <c r="B32">
        <v>1663.95</v>
      </c>
      <c r="C32">
        <v>1711.95</v>
      </c>
      <c r="D32">
        <v>1663</v>
      </c>
      <c r="E32">
        <v>1697.95</v>
      </c>
      <c r="F32">
        <v>1697.95</v>
      </c>
      <c r="G32">
        <v>1016870</v>
      </c>
    </row>
    <row r="33" spans="1:7" x14ac:dyDescent="0.35">
      <c r="A33" s="40">
        <v>44292</v>
      </c>
      <c r="B33">
        <v>1623</v>
      </c>
      <c r="C33">
        <v>1708.05</v>
      </c>
      <c r="D33">
        <v>1615.4</v>
      </c>
      <c r="E33">
        <v>1657.15</v>
      </c>
      <c r="F33">
        <v>1657.15</v>
      </c>
      <c r="G33">
        <v>1888582</v>
      </c>
    </row>
    <row r="34" spans="1:7" x14ac:dyDescent="0.35">
      <c r="A34" s="40">
        <v>44291</v>
      </c>
      <c r="B34">
        <v>1647.8</v>
      </c>
      <c r="C34">
        <v>1668</v>
      </c>
      <c r="D34">
        <v>1602</v>
      </c>
      <c r="E34">
        <v>1617.15</v>
      </c>
      <c r="F34">
        <v>1617.15</v>
      </c>
      <c r="G34">
        <v>697617</v>
      </c>
    </row>
    <row r="35" spans="1:7" x14ac:dyDescent="0.35">
      <c r="A35" s="40">
        <v>44287</v>
      </c>
      <c r="B35">
        <v>1675</v>
      </c>
      <c r="C35">
        <v>1693.7</v>
      </c>
      <c r="D35">
        <v>1635.95</v>
      </c>
      <c r="E35">
        <v>1646.75</v>
      </c>
      <c r="F35">
        <v>1646.75</v>
      </c>
      <c r="G35">
        <v>1007936</v>
      </c>
    </row>
    <row r="36" spans="1:7" x14ac:dyDescent="0.35">
      <c r="A36" s="40">
        <v>44286</v>
      </c>
      <c r="B36">
        <v>1637</v>
      </c>
      <c r="C36">
        <v>1665.3</v>
      </c>
      <c r="D36">
        <v>1619.8</v>
      </c>
      <c r="E36">
        <v>1656.5</v>
      </c>
      <c r="F36">
        <v>1656.5</v>
      </c>
      <c r="G36">
        <v>1364001</v>
      </c>
    </row>
    <row r="37" spans="1:7" x14ac:dyDescent="0.35">
      <c r="A37" s="40">
        <v>44285</v>
      </c>
      <c r="B37">
        <v>1585</v>
      </c>
      <c r="C37">
        <v>1637.95</v>
      </c>
      <c r="D37">
        <v>1546.1</v>
      </c>
      <c r="E37">
        <v>1626.1</v>
      </c>
      <c r="F37">
        <v>1626.1</v>
      </c>
      <c r="G37">
        <v>1948335</v>
      </c>
    </row>
    <row r="38" spans="1:7" x14ac:dyDescent="0.35">
      <c r="A38" s="40">
        <v>44281</v>
      </c>
      <c r="B38">
        <v>1558</v>
      </c>
      <c r="C38">
        <v>1570.05</v>
      </c>
      <c r="D38">
        <v>1535</v>
      </c>
      <c r="E38">
        <v>1561</v>
      </c>
      <c r="F38">
        <v>1561</v>
      </c>
      <c r="G38">
        <v>667210</v>
      </c>
    </row>
    <row r="39" spans="1:7" x14ac:dyDescent="0.35">
      <c r="A39" s="40">
        <v>44280</v>
      </c>
      <c r="B39">
        <v>1549.55</v>
      </c>
      <c r="C39">
        <v>1553.45</v>
      </c>
      <c r="D39">
        <v>1485</v>
      </c>
      <c r="E39">
        <v>1534.15</v>
      </c>
      <c r="F39">
        <v>1534.15</v>
      </c>
      <c r="G39">
        <v>1122154</v>
      </c>
    </row>
    <row r="40" spans="1:7" x14ac:dyDescent="0.35">
      <c r="A40" s="40">
        <v>44279</v>
      </c>
      <c r="B40">
        <v>1579.2</v>
      </c>
      <c r="C40">
        <v>1618.4</v>
      </c>
      <c r="D40">
        <v>1528.85</v>
      </c>
      <c r="E40">
        <v>1538.5</v>
      </c>
      <c r="F40">
        <v>1538.5</v>
      </c>
      <c r="G40">
        <v>1636452</v>
      </c>
    </row>
    <row r="41" spans="1:7" x14ac:dyDescent="0.35">
      <c r="A41" s="40">
        <v>44278</v>
      </c>
      <c r="B41">
        <v>1535</v>
      </c>
      <c r="C41">
        <v>1604</v>
      </c>
      <c r="D41">
        <v>1520</v>
      </c>
      <c r="E41">
        <v>1580.2</v>
      </c>
      <c r="F41">
        <v>1580.2</v>
      </c>
      <c r="G41">
        <v>1534101</v>
      </c>
    </row>
    <row r="42" spans="1:7" x14ac:dyDescent="0.35">
      <c r="A42" s="40">
        <v>44277</v>
      </c>
      <c r="B42">
        <v>1515.95</v>
      </c>
      <c r="C42">
        <v>1545</v>
      </c>
      <c r="D42">
        <v>1474.55</v>
      </c>
      <c r="E42">
        <v>1530.5</v>
      </c>
      <c r="F42">
        <v>1530.5</v>
      </c>
      <c r="G42">
        <v>698562</v>
      </c>
    </row>
    <row r="43" spans="1:7" x14ac:dyDescent="0.35">
      <c r="A43" s="40">
        <v>44274</v>
      </c>
      <c r="B43">
        <v>1490.9</v>
      </c>
      <c r="C43">
        <v>1522.15</v>
      </c>
      <c r="D43">
        <v>1428.25</v>
      </c>
      <c r="E43">
        <v>1514.65</v>
      </c>
      <c r="F43">
        <v>1514.65</v>
      </c>
      <c r="G43">
        <v>1036169</v>
      </c>
    </row>
    <row r="44" spans="1:7" x14ac:dyDescent="0.35">
      <c r="A44" s="40">
        <v>44273</v>
      </c>
      <c r="B44">
        <v>1537.95</v>
      </c>
      <c r="C44">
        <v>1564.9</v>
      </c>
      <c r="D44">
        <v>1460.25</v>
      </c>
      <c r="E44">
        <v>1484.35</v>
      </c>
      <c r="F44">
        <v>1484.35</v>
      </c>
      <c r="G44">
        <v>1149967</v>
      </c>
    </row>
    <row r="45" spans="1:7" x14ac:dyDescent="0.35">
      <c r="A45" s="40">
        <v>44272</v>
      </c>
      <c r="B45">
        <v>1571</v>
      </c>
      <c r="C45">
        <v>1576.6</v>
      </c>
      <c r="D45">
        <v>1509.2</v>
      </c>
      <c r="E45">
        <v>1523.4</v>
      </c>
      <c r="F45">
        <v>1523.4</v>
      </c>
      <c r="G45">
        <v>436834</v>
      </c>
    </row>
    <row r="46" spans="1:7" x14ac:dyDescent="0.35">
      <c r="A46" s="40">
        <v>44271</v>
      </c>
      <c r="B46">
        <v>1559.9</v>
      </c>
      <c r="C46">
        <v>1599</v>
      </c>
      <c r="D46">
        <v>1530</v>
      </c>
      <c r="E46">
        <v>1570.9</v>
      </c>
      <c r="F46">
        <v>1570.9</v>
      </c>
      <c r="G46">
        <v>651515</v>
      </c>
    </row>
    <row r="47" spans="1:7" x14ac:dyDescent="0.35">
      <c r="A47" s="40">
        <v>44270</v>
      </c>
      <c r="B47">
        <v>1575.9</v>
      </c>
      <c r="C47">
        <v>1576.8</v>
      </c>
      <c r="D47">
        <v>1523.1</v>
      </c>
      <c r="E47">
        <v>1553.15</v>
      </c>
      <c r="F47">
        <v>1553.15</v>
      </c>
      <c r="G47">
        <v>678017</v>
      </c>
    </row>
    <row r="48" spans="1:7" x14ac:dyDescent="0.35">
      <c r="A48" s="40">
        <v>44267</v>
      </c>
      <c r="B48">
        <v>1622</v>
      </c>
      <c r="C48">
        <v>1623.3</v>
      </c>
      <c r="D48">
        <v>1538</v>
      </c>
      <c r="E48">
        <v>1573.95</v>
      </c>
      <c r="F48">
        <v>1573.95</v>
      </c>
      <c r="G48">
        <v>1023219</v>
      </c>
    </row>
    <row r="49" spans="1:7" x14ac:dyDescent="0.35">
      <c r="A49" s="40">
        <v>44265</v>
      </c>
      <c r="B49">
        <v>1541.1</v>
      </c>
      <c r="C49">
        <v>1605.2</v>
      </c>
      <c r="D49">
        <v>1525</v>
      </c>
      <c r="E49">
        <v>1599.3</v>
      </c>
      <c r="F49">
        <v>1599.3</v>
      </c>
      <c r="G49">
        <v>1170778</v>
      </c>
    </row>
    <row r="50" spans="1:7" x14ac:dyDescent="0.35">
      <c r="A50" s="40">
        <v>44264</v>
      </c>
      <c r="B50">
        <v>1580.4</v>
      </c>
      <c r="C50">
        <v>1588.4</v>
      </c>
      <c r="D50">
        <v>1503</v>
      </c>
      <c r="E50">
        <v>1537.25</v>
      </c>
      <c r="F50">
        <v>1537.25</v>
      </c>
      <c r="G50">
        <v>839875</v>
      </c>
    </row>
    <row r="51" spans="1:7" x14ac:dyDescent="0.35">
      <c r="A51" s="40">
        <v>44263</v>
      </c>
      <c r="B51">
        <v>1596.05</v>
      </c>
      <c r="C51">
        <v>1632</v>
      </c>
      <c r="D51">
        <v>1556.05</v>
      </c>
      <c r="E51">
        <v>1566.45</v>
      </c>
      <c r="F51">
        <v>1566.45</v>
      </c>
      <c r="G51">
        <v>803039</v>
      </c>
    </row>
    <row r="52" spans="1:7" x14ac:dyDescent="0.35">
      <c r="A52" s="40">
        <v>44260</v>
      </c>
      <c r="B52">
        <v>1615.4</v>
      </c>
      <c r="C52">
        <v>1647.6</v>
      </c>
      <c r="D52">
        <v>1562</v>
      </c>
      <c r="E52">
        <v>1581.8</v>
      </c>
      <c r="F52">
        <v>1581.8</v>
      </c>
      <c r="G52">
        <v>1250155</v>
      </c>
    </row>
    <row r="53" spans="1:7" x14ac:dyDescent="0.35">
      <c r="A53" s="40">
        <v>44259</v>
      </c>
      <c r="B53">
        <v>1617.9</v>
      </c>
      <c r="C53">
        <v>1690</v>
      </c>
      <c r="D53">
        <v>1600.05</v>
      </c>
      <c r="E53">
        <v>1612.4</v>
      </c>
      <c r="F53">
        <v>1612.4</v>
      </c>
      <c r="G53">
        <v>2455368</v>
      </c>
    </row>
    <row r="54" spans="1:7" x14ac:dyDescent="0.35">
      <c r="A54" s="40">
        <v>44258</v>
      </c>
      <c r="B54">
        <v>1608</v>
      </c>
      <c r="C54">
        <v>1639.45</v>
      </c>
      <c r="D54">
        <v>1582.8</v>
      </c>
      <c r="E54">
        <v>1602.15</v>
      </c>
      <c r="F54">
        <v>1602.15</v>
      </c>
      <c r="G54">
        <v>1270366</v>
      </c>
    </row>
    <row r="55" spans="1:7" x14ac:dyDescent="0.35">
      <c r="A55" s="40">
        <v>44257</v>
      </c>
      <c r="B55">
        <v>1585</v>
      </c>
      <c r="C55">
        <v>1663.15</v>
      </c>
      <c r="D55">
        <v>1517.15</v>
      </c>
      <c r="E55">
        <v>1607.85</v>
      </c>
      <c r="F55">
        <v>1607.85</v>
      </c>
      <c r="G55">
        <v>3111655</v>
      </c>
    </row>
    <row r="56" spans="1:7" x14ac:dyDescent="0.35">
      <c r="A56" s="40">
        <v>44256</v>
      </c>
      <c r="B56">
        <v>1385</v>
      </c>
      <c r="C56">
        <v>1573.9</v>
      </c>
      <c r="D56">
        <v>1379.05</v>
      </c>
      <c r="E56">
        <v>1563.75</v>
      </c>
      <c r="F56">
        <v>1563.75</v>
      </c>
      <c r="G56">
        <v>2627071</v>
      </c>
    </row>
    <row r="57" spans="1:7" x14ac:dyDescent="0.35">
      <c r="A57" s="40">
        <v>44253</v>
      </c>
      <c r="B57">
        <v>1385</v>
      </c>
      <c r="C57">
        <v>1443.4</v>
      </c>
      <c r="D57">
        <v>1360</v>
      </c>
      <c r="E57">
        <v>1368.65</v>
      </c>
      <c r="F57">
        <v>1368.65</v>
      </c>
      <c r="G57">
        <v>1647656</v>
      </c>
    </row>
    <row r="58" spans="1:7" x14ac:dyDescent="0.35">
      <c r="A58" s="40">
        <v>44252</v>
      </c>
      <c r="B58">
        <v>1339.8</v>
      </c>
      <c r="C58">
        <v>1410</v>
      </c>
      <c r="D58">
        <v>1335</v>
      </c>
      <c r="E58">
        <v>1395.9</v>
      </c>
      <c r="F58">
        <v>1395.9</v>
      </c>
      <c r="G58">
        <v>731085</v>
      </c>
    </row>
    <row r="59" spans="1:7" x14ac:dyDescent="0.35">
      <c r="A59" s="40">
        <v>44251</v>
      </c>
      <c r="B59">
        <v>1296.25</v>
      </c>
      <c r="C59">
        <v>1344</v>
      </c>
      <c r="D59">
        <v>1270</v>
      </c>
      <c r="E59">
        <v>1318.65</v>
      </c>
      <c r="F59">
        <v>1318.65</v>
      </c>
      <c r="G59">
        <v>388603</v>
      </c>
    </row>
    <row r="60" spans="1:7" x14ac:dyDescent="0.35">
      <c r="A60" s="40">
        <v>44250</v>
      </c>
      <c r="B60">
        <v>1273</v>
      </c>
      <c r="C60">
        <v>1303</v>
      </c>
      <c r="D60">
        <v>1256.1500000000001</v>
      </c>
      <c r="E60">
        <v>1286.55</v>
      </c>
      <c r="F60">
        <v>1286.55</v>
      </c>
      <c r="G60">
        <v>383570</v>
      </c>
    </row>
    <row r="61" spans="1:7" x14ac:dyDescent="0.35">
      <c r="A61" s="40">
        <v>44249</v>
      </c>
      <c r="B61">
        <v>1290</v>
      </c>
      <c r="C61">
        <v>1305</v>
      </c>
      <c r="D61">
        <v>1246.25</v>
      </c>
      <c r="E61">
        <v>1265.8</v>
      </c>
      <c r="F61">
        <v>1265.8</v>
      </c>
      <c r="G61">
        <v>506067</v>
      </c>
    </row>
    <row r="62" spans="1:7" x14ac:dyDescent="0.35">
      <c r="A62" s="40">
        <v>44246</v>
      </c>
      <c r="B62">
        <v>1306</v>
      </c>
      <c r="C62">
        <v>1312</v>
      </c>
      <c r="D62">
        <v>1241.7</v>
      </c>
      <c r="E62">
        <v>1280.05</v>
      </c>
      <c r="F62">
        <v>1280.05</v>
      </c>
      <c r="G62">
        <v>734221</v>
      </c>
    </row>
    <row r="63" spans="1:7" x14ac:dyDescent="0.35">
      <c r="A63" s="40">
        <v>44245</v>
      </c>
      <c r="B63">
        <v>1309.5999999999999</v>
      </c>
      <c r="C63">
        <v>1325</v>
      </c>
      <c r="D63">
        <v>1278.05</v>
      </c>
      <c r="E63">
        <v>1313.75</v>
      </c>
      <c r="F63">
        <v>1313.75</v>
      </c>
      <c r="G63">
        <v>1390752</v>
      </c>
    </row>
    <row r="64" spans="1:7" x14ac:dyDescent="0.35">
      <c r="A64" s="40">
        <v>44244</v>
      </c>
      <c r="B64">
        <v>1276.75</v>
      </c>
      <c r="C64">
        <v>1330</v>
      </c>
      <c r="D64">
        <v>1259</v>
      </c>
      <c r="E64">
        <v>1301.05</v>
      </c>
      <c r="F64">
        <v>1301.05</v>
      </c>
      <c r="G64">
        <v>2510088</v>
      </c>
    </row>
    <row r="65" spans="1:7" x14ac:dyDescent="0.35">
      <c r="A65" s="40">
        <v>44243</v>
      </c>
      <c r="B65">
        <v>1198</v>
      </c>
      <c r="C65">
        <v>1294</v>
      </c>
      <c r="D65">
        <v>1162.7</v>
      </c>
      <c r="E65">
        <v>1273.8</v>
      </c>
      <c r="F65">
        <v>1273.8</v>
      </c>
      <c r="G65">
        <v>3710214</v>
      </c>
    </row>
    <row r="66" spans="1:7" x14ac:dyDescent="0.35">
      <c r="A66" s="40">
        <v>44242</v>
      </c>
      <c r="B66">
        <v>1137</v>
      </c>
      <c r="C66">
        <v>1240</v>
      </c>
      <c r="D66">
        <v>1131</v>
      </c>
      <c r="E66">
        <v>1178.8</v>
      </c>
      <c r="F66">
        <v>1178.8</v>
      </c>
      <c r="G66">
        <v>4034003</v>
      </c>
    </row>
    <row r="67" spans="1:7" x14ac:dyDescent="0.35">
      <c r="A67" s="40">
        <v>44239</v>
      </c>
      <c r="B67">
        <v>1137.8</v>
      </c>
      <c r="C67">
        <v>1159</v>
      </c>
      <c r="D67">
        <v>1094</v>
      </c>
      <c r="E67">
        <v>1110.6500000000001</v>
      </c>
      <c r="F67">
        <v>1110.6500000000001</v>
      </c>
      <c r="G67">
        <v>960909</v>
      </c>
    </row>
    <row r="68" spans="1:7" x14ac:dyDescent="0.35">
      <c r="A68" s="40">
        <v>44238</v>
      </c>
      <c r="B68">
        <v>1083.8</v>
      </c>
      <c r="C68">
        <v>1137.2</v>
      </c>
      <c r="D68">
        <v>1077</v>
      </c>
      <c r="E68">
        <v>1129.45</v>
      </c>
      <c r="F68">
        <v>1129.45</v>
      </c>
      <c r="G68">
        <v>1720614</v>
      </c>
    </row>
    <row r="69" spans="1:7" x14ac:dyDescent="0.35">
      <c r="A69" s="40">
        <v>44237</v>
      </c>
      <c r="B69">
        <v>1047.6500000000001</v>
      </c>
      <c r="C69">
        <v>1080.9000000000001</v>
      </c>
      <c r="D69">
        <v>1033.25</v>
      </c>
      <c r="E69">
        <v>1071.3499999999999</v>
      </c>
      <c r="F69">
        <v>1071.3499999999999</v>
      </c>
      <c r="G69">
        <v>741879</v>
      </c>
    </row>
    <row r="70" spans="1:7" x14ac:dyDescent="0.35">
      <c r="A70" s="40">
        <v>44236</v>
      </c>
      <c r="B70">
        <v>1037.7</v>
      </c>
      <c r="C70">
        <v>1046.9000000000001</v>
      </c>
      <c r="D70">
        <v>1022.4</v>
      </c>
      <c r="E70">
        <v>1038.25</v>
      </c>
      <c r="F70">
        <v>1038.25</v>
      </c>
      <c r="G70">
        <v>438190</v>
      </c>
    </row>
    <row r="71" spans="1:7" x14ac:dyDescent="0.35">
      <c r="A71" s="40">
        <v>44235</v>
      </c>
      <c r="B71">
        <v>1015</v>
      </c>
      <c r="C71">
        <v>1047.05</v>
      </c>
      <c r="D71">
        <v>1013.35</v>
      </c>
      <c r="E71">
        <v>1028.45</v>
      </c>
      <c r="F71">
        <v>1028.45</v>
      </c>
      <c r="G71">
        <v>354726</v>
      </c>
    </row>
    <row r="72" spans="1:7" x14ac:dyDescent="0.35">
      <c r="A72" s="40">
        <v>44232</v>
      </c>
      <c r="B72">
        <v>1034.45</v>
      </c>
      <c r="C72">
        <v>1037.9000000000001</v>
      </c>
      <c r="D72">
        <v>1009.05</v>
      </c>
      <c r="E72">
        <v>1012.65</v>
      </c>
      <c r="F72">
        <v>1012.65</v>
      </c>
      <c r="G72">
        <v>329802</v>
      </c>
    </row>
    <row r="73" spans="1:7" x14ac:dyDescent="0.35">
      <c r="A73" s="40">
        <v>44231</v>
      </c>
      <c r="B73">
        <v>1058.4000000000001</v>
      </c>
      <c r="C73">
        <v>1059.8</v>
      </c>
      <c r="D73">
        <v>1018.75</v>
      </c>
      <c r="E73">
        <v>1026.25</v>
      </c>
      <c r="F73">
        <v>1026.25</v>
      </c>
      <c r="G73">
        <v>731744</v>
      </c>
    </row>
    <row r="74" spans="1:7" x14ac:dyDescent="0.35">
      <c r="A74" s="40">
        <v>44230</v>
      </c>
      <c r="B74">
        <v>991.5</v>
      </c>
      <c r="C74">
        <v>1062</v>
      </c>
      <c r="D74">
        <v>985</v>
      </c>
      <c r="E74">
        <v>1049.8</v>
      </c>
      <c r="F74">
        <v>1049.8</v>
      </c>
      <c r="G74">
        <v>1475620</v>
      </c>
    </row>
    <row r="75" spans="1:7" x14ac:dyDescent="0.35">
      <c r="A75" s="40">
        <v>44229</v>
      </c>
      <c r="B75">
        <v>981.35</v>
      </c>
      <c r="C75">
        <v>1010.15</v>
      </c>
      <c r="D75">
        <v>978</v>
      </c>
      <c r="E75">
        <v>981.55</v>
      </c>
      <c r="F75">
        <v>981.55</v>
      </c>
      <c r="G75">
        <v>798239</v>
      </c>
    </row>
    <row r="76" spans="1:7" x14ac:dyDescent="0.35">
      <c r="A76" s="40">
        <v>44228</v>
      </c>
      <c r="B76">
        <v>971.55</v>
      </c>
      <c r="C76">
        <v>1002.85</v>
      </c>
      <c r="D76">
        <v>944</v>
      </c>
      <c r="E76">
        <v>990.45</v>
      </c>
      <c r="F76">
        <v>990.45</v>
      </c>
      <c r="G76">
        <v>738275</v>
      </c>
    </row>
    <row r="77" spans="1:7" x14ac:dyDescent="0.35">
      <c r="A77" s="40">
        <v>44225</v>
      </c>
      <c r="B77">
        <v>990</v>
      </c>
      <c r="C77">
        <v>1005</v>
      </c>
      <c r="D77">
        <v>961.2</v>
      </c>
      <c r="E77">
        <v>971.55</v>
      </c>
      <c r="F77">
        <v>971.55</v>
      </c>
      <c r="G77">
        <v>443942</v>
      </c>
    </row>
    <row r="78" spans="1:7" x14ac:dyDescent="0.35">
      <c r="A78" s="40">
        <v>44224</v>
      </c>
      <c r="B78">
        <v>952</v>
      </c>
      <c r="C78">
        <v>1010.05</v>
      </c>
      <c r="D78">
        <v>941.2</v>
      </c>
      <c r="E78">
        <v>973</v>
      </c>
      <c r="F78">
        <v>973</v>
      </c>
      <c r="G78">
        <v>646672</v>
      </c>
    </row>
    <row r="79" spans="1:7" x14ac:dyDescent="0.35">
      <c r="A79" s="40">
        <v>44223</v>
      </c>
      <c r="B79">
        <v>986</v>
      </c>
      <c r="C79">
        <v>988</v>
      </c>
      <c r="D79">
        <v>961</v>
      </c>
      <c r="E79">
        <v>966.5</v>
      </c>
      <c r="F79">
        <v>966.5</v>
      </c>
      <c r="G79">
        <v>382009</v>
      </c>
    </row>
    <row r="80" spans="1:7" x14ac:dyDescent="0.35">
      <c r="A80" s="40">
        <v>44221</v>
      </c>
      <c r="B80">
        <v>1011.25</v>
      </c>
      <c r="C80">
        <v>1012.4</v>
      </c>
      <c r="D80">
        <v>981.65</v>
      </c>
      <c r="E80">
        <v>986.2</v>
      </c>
      <c r="F80">
        <v>986.2</v>
      </c>
      <c r="G80">
        <v>363962</v>
      </c>
    </row>
    <row r="81" spans="1:7" x14ac:dyDescent="0.35">
      <c r="A81" s="40">
        <v>44218</v>
      </c>
      <c r="B81">
        <v>1014</v>
      </c>
      <c r="C81">
        <v>1015.8</v>
      </c>
      <c r="D81">
        <v>987</v>
      </c>
      <c r="E81">
        <v>1001</v>
      </c>
      <c r="F81">
        <v>1001</v>
      </c>
      <c r="G81">
        <v>609335</v>
      </c>
    </row>
    <row r="82" spans="1:7" x14ac:dyDescent="0.35">
      <c r="A82" s="40">
        <v>44217</v>
      </c>
      <c r="B82">
        <v>1013.8</v>
      </c>
      <c r="C82">
        <v>1018.8</v>
      </c>
      <c r="D82">
        <v>1007</v>
      </c>
      <c r="E82">
        <v>1013.15</v>
      </c>
      <c r="F82">
        <v>1013.15</v>
      </c>
      <c r="G82">
        <v>420354</v>
      </c>
    </row>
    <row r="83" spans="1:7" x14ac:dyDescent="0.35">
      <c r="A83" s="40">
        <v>44216</v>
      </c>
      <c r="B83">
        <v>1017.5</v>
      </c>
      <c r="C83">
        <v>1022.9</v>
      </c>
      <c r="D83">
        <v>1000.1</v>
      </c>
      <c r="E83">
        <v>1009.3</v>
      </c>
      <c r="F83">
        <v>1009.3</v>
      </c>
      <c r="G83">
        <v>746794</v>
      </c>
    </row>
    <row r="84" spans="1:7" x14ac:dyDescent="0.35">
      <c r="A84" s="40">
        <v>44215</v>
      </c>
      <c r="B84">
        <v>1021</v>
      </c>
      <c r="C84">
        <v>1031</v>
      </c>
      <c r="D84">
        <v>1011</v>
      </c>
      <c r="E84">
        <v>1014.5</v>
      </c>
      <c r="F84">
        <v>1014.5</v>
      </c>
      <c r="G84">
        <v>934269</v>
      </c>
    </row>
    <row r="85" spans="1:7" x14ac:dyDescent="0.35">
      <c r="A85" s="40">
        <v>44214</v>
      </c>
      <c r="B85">
        <v>1012.5</v>
      </c>
      <c r="C85">
        <v>1033.95</v>
      </c>
      <c r="D85">
        <v>1004</v>
      </c>
      <c r="E85">
        <v>1011.6</v>
      </c>
      <c r="F85">
        <v>1011.6</v>
      </c>
      <c r="G85">
        <v>1006666</v>
      </c>
    </row>
    <row r="86" spans="1:7" x14ac:dyDescent="0.35">
      <c r="A86" s="40">
        <v>44211</v>
      </c>
      <c r="B86">
        <v>1039</v>
      </c>
      <c r="C86">
        <v>1040.8499999999999</v>
      </c>
      <c r="D86">
        <v>1011</v>
      </c>
      <c r="E86">
        <v>1022.2</v>
      </c>
      <c r="F86">
        <v>1022.2</v>
      </c>
      <c r="G86">
        <v>370563</v>
      </c>
    </row>
    <row r="87" spans="1:7" x14ac:dyDescent="0.35">
      <c r="A87" s="40">
        <v>44210</v>
      </c>
      <c r="B87">
        <v>1030.0999999999999</v>
      </c>
      <c r="C87">
        <v>1043</v>
      </c>
      <c r="D87">
        <v>1017.95</v>
      </c>
      <c r="E87">
        <v>1035.5999999999999</v>
      </c>
      <c r="F87">
        <v>1035.5999999999999</v>
      </c>
      <c r="G87">
        <v>347795</v>
      </c>
    </row>
    <row r="88" spans="1:7" x14ac:dyDescent="0.35">
      <c r="A88" s="40">
        <v>44209</v>
      </c>
      <c r="B88">
        <v>1033.5</v>
      </c>
      <c r="C88">
        <v>1043.8</v>
      </c>
      <c r="D88">
        <v>1015</v>
      </c>
      <c r="E88">
        <v>1027.5</v>
      </c>
      <c r="F88">
        <v>1027.5</v>
      </c>
      <c r="G88">
        <v>737911</v>
      </c>
    </row>
    <row r="89" spans="1:7" x14ac:dyDescent="0.35">
      <c r="A89" s="40">
        <v>44208</v>
      </c>
      <c r="B89">
        <v>1033.3</v>
      </c>
      <c r="C89">
        <v>1040</v>
      </c>
      <c r="D89">
        <v>1022.75</v>
      </c>
      <c r="E89">
        <v>1028.2</v>
      </c>
      <c r="F89">
        <v>1028.2</v>
      </c>
      <c r="G89">
        <v>516550</v>
      </c>
    </row>
    <row r="90" spans="1:7" x14ac:dyDescent="0.35">
      <c r="A90" s="40">
        <v>44207</v>
      </c>
      <c r="B90">
        <v>1060.5</v>
      </c>
      <c r="C90">
        <v>1063</v>
      </c>
      <c r="D90">
        <v>1020</v>
      </c>
      <c r="E90">
        <v>1028.1500000000001</v>
      </c>
      <c r="F90">
        <v>1028.1500000000001</v>
      </c>
      <c r="G90">
        <v>726331</v>
      </c>
    </row>
    <row r="91" spans="1:7" x14ac:dyDescent="0.35">
      <c r="A91" s="40">
        <v>44204</v>
      </c>
      <c r="B91">
        <v>1086</v>
      </c>
      <c r="C91">
        <v>1086</v>
      </c>
      <c r="D91">
        <v>1040.0999999999999</v>
      </c>
      <c r="E91">
        <v>1054.6500000000001</v>
      </c>
      <c r="F91">
        <v>1054.6500000000001</v>
      </c>
      <c r="G91">
        <v>655421</v>
      </c>
    </row>
    <row r="92" spans="1:7" x14ac:dyDescent="0.35">
      <c r="A92" s="40">
        <v>44203</v>
      </c>
      <c r="B92">
        <v>1036</v>
      </c>
      <c r="C92">
        <v>1072.5</v>
      </c>
      <c r="D92">
        <v>1036</v>
      </c>
      <c r="E92">
        <v>1059.5</v>
      </c>
      <c r="F92">
        <v>1059.5</v>
      </c>
      <c r="G92">
        <v>1276096</v>
      </c>
    </row>
    <row r="93" spans="1:7" x14ac:dyDescent="0.35">
      <c r="A93" s="40">
        <v>44202</v>
      </c>
      <c r="B93">
        <v>1015.3</v>
      </c>
      <c r="C93">
        <v>1041.7</v>
      </c>
      <c r="D93">
        <v>1007.1</v>
      </c>
      <c r="E93">
        <v>1033.0999999999999</v>
      </c>
      <c r="F93">
        <v>1033.0999999999999</v>
      </c>
      <c r="G93">
        <v>863571</v>
      </c>
    </row>
    <row r="94" spans="1:7" x14ac:dyDescent="0.35">
      <c r="A94" s="40">
        <v>44201</v>
      </c>
      <c r="B94">
        <v>1034</v>
      </c>
      <c r="C94">
        <v>1054</v>
      </c>
      <c r="D94">
        <v>1004.2</v>
      </c>
      <c r="E94">
        <v>1013.7</v>
      </c>
      <c r="F94">
        <v>1013.7</v>
      </c>
      <c r="G94">
        <v>1332215</v>
      </c>
    </row>
    <row r="95" spans="1:7" x14ac:dyDescent="0.35">
      <c r="A95" s="40">
        <v>44200</v>
      </c>
      <c r="B95">
        <v>1004.2</v>
      </c>
      <c r="C95">
        <v>1041.2</v>
      </c>
      <c r="D95">
        <v>985.9</v>
      </c>
      <c r="E95">
        <v>1034.05</v>
      </c>
      <c r="F95">
        <v>1034.05</v>
      </c>
      <c r="G95">
        <v>1999748</v>
      </c>
    </row>
    <row r="96" spans="1:7" x14ac:dyDescent="0.35">
      <c r="A96" s="40">
        <v>44197</v>
      </c>
      <c r="B96">
        <v>949</v>
      </c>
      <c r="C96">
        <v>999</v>
      </c>
      <c r="D96">
        <v>946.95</v>
      </c>
      <c r="E96">
        <v>987.85</v>
      </c>
      <c r="F96">
        <v>987.85</v>
      </c>
      <c r="G96">
        <v>2415931</v>
      </c>
    </row>
    <row r="97" spans="1:7" x14ac:dyDescent="0.35">
      <c r="A97" s="40">
        <v>44196</v>
      </c>
      <c r="B97">
        <v>920</v>
      </c>
      <c r="C97">
        <v>954.8</v>
      </c>
      <c r="D97">
        <v>918.7</v>
      </c>
      <c r="E97">
        <v>941.85</v>
      </c>
      <c r="F97">
        <v>941.85</v>
      </c>
      <c r="G97">
        <v>1210127</v>
      </c>
    </row>
    <row r="98" spans="1:7" x14ac:dyDescent="0.35">
      <c r="A98" s="40">
        <v>44195</v>
      </c>
      <c r="B98">
        <v>924</v>
      </c>
      <c r="C98">
        <v>935</v>
      </c>
      <c r="D98">
        <v>910.5</v>
      </c>
      <c r="E98">
        <v>927.85</v>
      </c>
      <c r="F98">
        <v>927.85</v>
      </c>
      <c r="G98">
        <v>523199</v>
      </c>
    </row>
    <row r="99" spans="1:7" x14ac:dyDescent="0.35">
      <c r="A99" s="40">
        <v>44194</v>
      </c>
      <c r="B99">
        <v>916.5</v>
      </c>
      <c r="C99">
        <v>936.8</v>
      </c>
      <c r="D99">
        <v>900</v>
      </c>
      <c r="E99">
        <v>921.05</v>
      </c>
      <c r="F99">
        <v>921.05</v>
      </c>
      <c r="G99">
        <v>1054986</v>
      </c>
    </row>
    <row r="100" spans="1:7" x14ac:dyDescent="0.35">
      <c r="A100" s="40">
        <v>44193</v>
      </c>
      <c r="B100">
        <v>916.2</v>
      </c>
      <c r="C100">
        <v>926.2</v>
      </c>
      <c r="D100">
        <v>906.25</v>
      </c>
      <c r="E100">
        <v>910.65</v>
      </c>
      <c r="F100">
        <v>910.65</v>
      </c>
      <c r="G100">
        <v>333961</v>
      </c>
    </row>
    <row r="101" spans="1:7" x14ac:dyDescent="0.35">
      <c r="A101" s="40">
        <v>44189</v>
      </c>
      <c r="B101">
        <v>918.25</v>
      </c>
      <c r="C101">
        <v>935</v>
      </c>
      <c r="D101">
        <v>900</v>
      </c>
      <c r="E101">
        <v>908</v>
      </c>
      <c r="F101">
        <v>908</v>
      </c>
      <c r="G101">
        <v>581414</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5EC36-0412-41B8-8BAC-94942C10CBD5}">
  <sheetPr codeName="Sheet12"/>
  <dimension ref="A1:G101"/>
  <sheetViews>
    <sheetView workbookViewId="0"/>
  </sheetViews>
  <sheetFormatPr defaultColWidth="8.83203125" defaultRowHeight="14.5" x14ac:dyDescent="0.35"/>
  <cols>
    <col min="1" max="1" width="10" customWidth="1"/>
    <col min="2" max="4" width="7.58203125" customWidth="1"/>
    <col min="5" max="5" width="8.5" customWidth="1"/>
    <col min="6" max="6" width="13" customWidth="1"/>
    <col min="7" max="7" width="9.5" customWidth="1"/>
  </cols>
  <sheetData>
    <row r="1" spans="1:7" x14ac:dyDescent="0.35">
      <c r="A1" t="s">
        <v>32</v>
      </c>
      <c r="B1" t="s">
        <v>33</v>
      </c>
      <c r="C1" t="s">
        <v>34</v>
      </c>
      <c r="D1" t="s">
        <v>35</v>
      </c>
      <c r="E1" t="s">
        <v>36</v>
      </c>
      <c r="F1" t="s">
        <v>37</v>
      </c>
      <c r="G1" t="s">
        <v>38</v>
      </c>
    </row>
    <row r="2" spans="1:7" x14ac:dyDescent="0.35">
      <c r="A2" s="40">
        <v>44340</v>
      </c>
      <c r="B2">
        <v>2355</v>
      </c>
      <c r="C2">
        <v>2359.9499999999998</v>
      </c>
      <c r="D2">
        <v>2325.25</v>
      </c>
      <c r="E2">
        <v>2336.5500000000002</v>
      </c>
      <c r="F2">
        <v>2336.5500000000002</v>
      </c>
      <c r="G2">
        <v>1194141</v>
      </c>
    </row>
    <row r="3" spans="1:7" x14ac:dyDescent="0.35">
      <c r="A3" s="40">
        <v>44337</v>
      </c>
      <c r="B3">
        <v>2340</v>
      </c>
      <c r="C3">
        <v>2366.15</v>
      </c>
      <c r="D3">
        <v>2340</v>
      </c>
      <c r="E3">
        <v>2362.25</v>
      </c>
      <c r="F3">
        <v>2362.25</v>
      </c>
      <c r="G3">
        <v>771492</v>
      </c>
    </row>
    <row r="4" spans="1:7" x14ac:dyDescent="0.35">
      <c r="A4" s="40">
        <v>44336</v>
      </c>
      <c r="B4">
        <v>2360</v>
      </c>
      <c r="C4">
        <v>2362</v>
      </c>
      <c r="D4">
        <v>2340</v>
      </c>
      <c r="E4">
        <v>2344.15</v>
      </c>
      <c r="F4">
        <v>2344.15</v>
      </c>
      <c r="G4">
        <v>856235</v>
      </c>
    </row>
    <row r="5" spans="1:7" x14ac:dyDescent="0.35">
      <c r="A5" s="40">
        <v>44335</v>
      </c>
      <c r="B5">
        <v>2360</v>
      </c>
      <c r="C5">
        <v>2380</v>
      </c>
      <c r="D5">
        <v>2344</v>
      </c>
      <c r="E5">
        <v>2359.75</v>
      </c>
      <c r="F5">
        <v>2359.75</v>
      </c>
      <c r="G5">
        <v>1323590</v>
      </c>
    </row>
    <row r="6" spans="1:7" x14ac:dyDescent="0.35">
      <c r="A6" s="40">
        <v>44334</v>
      </c>
      <c r="B6">
        <v>2402.1</v>
      </c>
      <c r="C6">
        <v>2408.35</v>
      </c>
      <c r="D6">
        <v>2366.9499999999998</v>
      </c>
      <c r="E6">
        <v>2374.25</v>
      </c>
      <c r="F6">
        <v>2374.25</v>
      </c>
      <c r="G6">
        <v>1153722</v>
      </c>
    </row>
    <row r="7" spans="1:7" x14ac:dyDescent="0.35">
      <c r="A7" s="40">
        <v>44333</v>
      </c>
      <c r="B7">
        <v>2385</v>
      </c>
      <c r="C7">
        <v>2395</v>
      </c>
      <c r="D7">
        <v>2366.5</v>
      </c>
      <c r="E7">
        <v>2376.25</v>
      </c>
      <c r="F7">
        <v>2376.25</v>
      </c>
      <c r="G7">
        <v>811243</v>
      </c>
    </row>
    <row r="8" spans="1:7" x14ac:dyDescent="0.35">
      <c r="A8" s="40">
        <v>44330</v>
      </c>
      <c r="B8">
        <v>2328.9</v>
      </c>
      <c r="C8">
        <v>2382.4</v>
      </c>
      <c r="D8">
        <v>2326</v>
      </c>
      <c r="E8">
        <v>2376.85</v>
      </c>
      <c r="F8">
        <v>2376.85</v>
      </c>
      <c r="G8">
        <v>1388970</v>
      </c>
    </row>
    <row r="9" spans="1:7" x14ac:dyDescent="0.35">
      <c r="A9" s="40">
        <v>44328</v>
      </c>
      <c r="B9">
        <v>2389</v>
      </c>
      <c r="C9">
        <v>2389</v>
      </c>
      <c r="D9">
        <v>2325.0500000000002</v>
      </c>
      <c r="E9">
        <v>2328.9499999999998</v>
      </c>
      <c r="F9">
        <v>2328.9499999999998</v>
      </c>
      <c r="G9">
        <v>2053932</v>
      </c>
    </row>
    <row r="10" spans="1:7" x14ac:dyDescent="0.35">
      <c r="A10" s="40">
        <v>44327</v>
      </c>
      <c r="B10">
        <v>2425</v>
      </c>
      <c r="C10">
        <v>2426</v>
      </c>
      <c r="D10">
        <v>2394.25</v>
      </c>
      <c r="E10">
        <v>2402.1</v>
      </c>
      <c r="F10">
        <v>2402.1</v>
      </c>
      <c r="G10">
        <v>1019077</v>
      </c>
    </row>
    <row r="11" spans="1:7" x14ac:dyDescent="0.35">
      <c r="A11" s="40">
        <v>44326</v>
      </c>
      <c r="B11">
        <v>2423</v>
      </c>
      <c r="C11">
        <v>2446.9499999999998</v>
      </c>
      <c r="D11">
        <v>2416</v>
      </c>
      <c r="E11">
        <v>2432.9</v>
      </c>
      <c r="F11">
        <v>2432.9</v>
      </c>
      <c r="G11">
        <v>988495</v>
      </c>
    </row>
    <row r="12" spans="1:7" x14ac:dyDescent="0.35">
      <c r="A12" s="40">
        <v>44323</v>
      </c>
      <c r="B12">
        <v>2408.8000000000002</v>
      </c>
      <c r="C12">
        <v>2424</v>
      </c>
      <c r="D12">
        <v>2397.15</v>
      </c>
      <c r="E12">
        <v>2411.1999999999998</v>
      </c>
      <c r="F12">
        <v>2411.1999999999998</v>
      </c>
      <c r="G12">
        <v>1169518</v>
      </c>
    </row>
    <row r="13" spans="1:7" x14ac:dyDescent="0.35">
      <c r="A13" s="40">
        <v>44322</v>
      </c>
      <c r="B13">
        <v>2400</v>
      </c>
      <c r="C13">
        <v>2416.5500000000002</v>
      </c>
      <c r="D13">
        <v>2377.0500000000002</v>
      </c>
      <c r="E13">
        <v>2390</v>
      </c>
      <c r="F13">
        <v>2390</v>
      </c>
      <c r="G13">
        <v>1377740</v>
      </c>
    </row>
    <row r="14" spans="1:7" x14ac:dyDescent="0.35">
      <c r="A14" s="40">
        <v>44321</v>
      </c>
      <c r="B14">
        <v>2434</v>
      </c>
      <c r="C14">
        <v>2434</v>
      </c>
      <c r="D14">
        <v>2368.65</v>
      </c>
      <c r="E14">
        <v>2394.65</v>
      </c>
      <c r="F14">
        <v>2394.65</v>
      </c>
      <c r="G14">
        <v>1256857</v>
      </c>
    </row>
    <row r="15" spans="1:7" x14ac:dyDescent="0.35">
      <c r="A15" s="40">
        <v>44320</v>
      </c>
      <c r="B15">
        <v>2409.1999999999998</v>
      </c>
      <c r="C15">
        <v>2418.1999999999998</v>
      </c>
      <c r="D15">
        <v>2372.1999999999998</v>
      </c>
      <c r="E15">
        <v>2407.65</v>
      </c>
      <c r="F15">
        <v>2407.65</v>
      </c>
      <c r="G15">
        <v>1453111</v>
      </c>
    </row>
    <row r="16" spans="1:7" x14ac:dyDescent="0.35">
      <c r="A16" s="40">
        <v>44319</v>
      </c>
      <c r="B16">
        <v>2343</v>
      </c>
      <c r="C16">
        <v>2415</v>
      </c>
      <c r="D16">
        <v>2340</v>
      </c>
      <c r="E16">
        <v>2408</v>
      </c>
      <c r="F16">
        <v>2408</v>
      </c>
      <c r="G16">
        <v>1692239</v>
      </c>
    </row>
    <row r="17" spans="1:7" x14ac:dyDescent="0.35">
      <c r="A17" s="40">
        <v>44316</v>
      </c>
      <c r="B17">
        <v>2410</v>
      </c>
      <c r="C17">
        <v>2442.9</v>
      </c>
      <c r="D17">
        <v>2330.25</v>
      </c>
      <c r="E17">
        <v>2353.75</v>
      </c>
      <c r="F17">
        <v>2353.75</v>
      </c>
      <c r="G17">
        <v>4010778</v>
      </c>
    </row>
    <row r="18" spans="1:7" x14ac:dyDescent="0.35">
      <c r="A18" s="40">
        <v>44315</v>
      </c>
      <c r="B18">
        <v>2433</v>
      </c>
      <c r="C18">
        <v>2448.9499999999998</v>
      </c>
      <c r="D18">
        <v>2384.15</v>
      </c>
      <c r="E18">
        <v>2407.6</v>
      </c>
      <c r="F18">
        <v>2407.6</v>
      </c>
      <c r="G18">
        <v>3151150</v>
      </c>
    </row>
    <row r="19" spans="1:7" x14ac:dyDescent="0.35">
      <c r="A19" s="40">
        <v>44314</v>
      </c>
      <c r="B19">
        <v>2380</v>
      </c>
      <c r="C19">
        <v>2445</v>
      </c>
      <c r="D19">
        <v>2366.3000000000002</v>
      </c>
      <c r="E19">
        <v>2406.5500000000002</v>
      </c>
      <c r="F19">
        <v>2406.5500000000002</v>
      </c>
      <c r="G19">
        <v>1951215</v>
      </c>
    </row>
    <row r="20" spans="1:7" x14ac:dyDescent="0.35">
      <c r="A20" s="40">
        <v>44313</v>
      </c>
      <c r="B20">
        <v>2363</v>
      </c>
      <c r="C20">
        <v>2386.4499999999998</v>
      </c>
      <c r="D20">
        <v>2352.9499999999998</v>
      </c>
      <c r="E20">
        <v>2379.85</v>
      </c>
      <c r="F20">
        <v>2379.85</v>
      </c>
      <c r="G20">
        <v>1668456</v>
      </c>
    </row>
    <row r="21" spans="1:7" x14ac:dyDescent="0.35">
      <c r="A21" s="40">
        <v>44312</v>
      </c>
      <c r="B21">
        <v>2324</v>
      </c>
      <c r="C21">
        <v>2369.8000000000002</v>
      </c>
      <c r="D21">
        <v>2311</v>
      </c>
      <c r="E21">
        <v>2360.65</v>
      </c>
      <c r="F21">
        <v>2360.65</v>
      </c>
      <c r="G21">
        <v>1946867</v>
      </c>
    </row>
    <row r="22" spans="1:7" x14ac:dyDescent="0.35">
      <c r="A22" s="40">
        <v>44309</v>
      </c>
      <c r="B22">
        <v>2340</v>
      </c>
      <c r="C22">
        <v>2350</v>
      </c>
      <c r="D22">
        <v>2300</v>
      </c>
      <c r="E22">
        <v>2307.75</v>
      </c>
      <c r="F22">
        <v>2307.75</v>
      </c>
      <c r="G22">
        <v>1949756</v>
      </c>
    </row>
    <row r="23" spans="1:7" x14ac:dyDescent="0.35">
      <c r="A23" s="40">
        <v>44308</v>
      </c>
      <c r="B23">
        <v>2390</v>
      </c>
      <c r="C23">
        <v>2390</v>
      </c>
      <c r="D23">
        <v>2332</v>
      </c>
      <c r="E23">
        <v>2349.4</v>
      </c>
      <c r="F23">
        <v>2349.4</v>
      </c>
      <c r="G23">
        <v>1721265</v>
      </c>
    </row>
    <row r="24" spans="1:7" x14ac:dyDescent="0.35">
      <c r="A24" s="40">
        <v>44306</v>
      </c>
      <c r="B24">
        <v>2456</v>
      </c>
      <c r="C24">
        <v>2456</v>
      </c>
      <c r="D24">
        <v>2383.8000000000002</v>
      </c>
      <c r="E24">
        <v>2397.4499999999998</v>
      </c>
      <c r="F24">
        <v>2397.4499999999998</v>
      </c>
      <c r="G24">
        <v>1589508</v>
      </c>
    </row>
    <row r="25" spans="1:7" x14ac:dyDescent="0.35">
      <c r="A25" s="40">
        <v>44305</v>
      </c>
      <c r="B25">
        <v>2440</v>
      </c>
      <c r="C25">
        <v>2459.6999999999998</v>
      </c>
      <c r="D25">
        <v>2414.0500000000002</v>
      </c>
      <c r="E25">
        <v>2436.65</v>
      </c>
      <c r="F25">
        <v>2436.65</v>
      </c>
      <c r="G25">
        <v>1746316</v>
      </c>
    </row>
    <row r="26" spans="1:7" x14ac:dyDescent="0.35">
      <c r="A26" s="40">
        <v>44302</v>
      </c>
      <c r="B26">
        <v>2469.9</v>
      </c>
      <c r="C26">
        <v>2478.9499999999998</v>
      </c>
      <c r="D26">
        <v>2440</v>
      </c>
      <c r="E26">
        <v>2458.9</v>
      </c>
      <c r="F26">
        <v>2458.9</v>
      </c>
      <c r="G26">
        <v>1225517</v>
      </c>
    </row>
    <row r="27" spans="1:7" x14ac:dyDescent="0.35">
      <c r="A27" s="40">
        <v>44301</v>
      </c>
      <c r="B27">
        <v>2497</v>
      </c>
      <c r="C27">
        <v>2497</v>
      </c>
      <c r="D27">
        <v>2421.1</v>
      </c>
      <c r="E27">
        <v>2460.65</v>
      </c>
      <c r="F27">
        <v>2460.65</v>
      </c>
      <c r="G27">
        <v>3352379</v>
      </c>
    </row>
    <row r="28" spans="1:7" x14ac:dyDescent="0.35">
      <c r="A28" s="40">
        <v>44299</v>
      </c>
      <c r="B28">
        <v>2470</v>
      </c>
      <c r="C28">
        <v>2505.9</v>
      </c>
      <c r="D28">
        <v>2448.8000000000002</v>
      </c>
      <c r="E28">
        <v>2454.4</v>
      </c>
      <c r="F28">
        <v>2454.4</v>
      </c>
      <c r="G28">
        <v>1811781</v>
      </c>
    </row>
    <row r="29" spans="1:7" x14ac:dyDescent="0.35">
      <c r="A29" s="40">
        <v>44298</v>
      </c>
      <c r="B29">
        <v>2441.5</v>
      </c>
      <c r="C29">
        <v>2488.25</v>
      </c>
      <c r="D29">
        <v>2437.6</v>
      </c>
      <c r="E29">
        <v>2462</v>
      </c>
      <c r="F29">
        <v>2462</v>
      </c>
      <c r="G29">
        <v>2261945</v>
      </c>
    </row>
    <row r="30" spans="1:7" x14ac:dyDescent="0.35">
      <c r="A30" s="40">
        <v>44295</v>
      </c>
      <c r="B30">
        <v>2424</v>
      </c>
      <c r="C30">
        <v>2483</v>
      </c>
      <c r="D30">
        <v>2424</v>
      </c>
      <c r="E30">
        <v>2476</v>
      </c>
      <c r="F30">
        <v>2476</v>
      </c>
      <c r="G30">
        <v>2604858</v>
      </c>
    </row>
    <row r="31" spans="1:7" x14ac:dyDescent="0.35">
      <c r="A31" s="40">
        <v>44294</v>
      </c>
      <c r="B31">
        <v>2406</v>
      </c>
      <c r="C31">
        <v>2439</v>
      </c>
      <c r="D31">
        <v>2395.6</v>
      </c>
      <c r="E31">
        <v>2409.9</v>
      </c>
      <c r="F31">
        <v>2409.9</v>
      </c>
      <c r="G31">
        <v>1814515</v>
      </c>
    </row>
    <row r="32" spans="1:7" x14ac:dyDescent="0.35">
      <c r="A32" s="40">
        <v>44293</v>
      </c>
      <c r="B32">
        <v>2417</v>
      </c>
      <c r="C32">
        <v>2435</v>
      </c>
      <c r="D32">
        <v>2387.35</v>
      </c>
      <c r="E32">
        <v>2405.25</v>
      </c>
      <c r="F32">
        <v>2405.25</v>
      </c>
      <c r="G32">
        <v>1713970</v>
      </c>
    </row>
    <row r="33" spans="1:7" x14ac:dyDescent="0.35">
      <c r="A33" s="40">
        <v>44292</v>
      </c>
      <c r="B33">
        <v>2382.3000000000002</v>
      </c>
      <c r="C33">
        <v>2411</v>
      </c>
      <c r="D33">
        <v>2377.35</v>
      </c>
      <c r="E33">
        <v>2408.3000000000002</v>
      </c>
      <c r="F33">
        <v>2408.3000000000002</v>
      </c>
      <c r="G33">
        <v>3683538</v>
      </c>
    </row>
    <row r="34" spans="1:7" x14ac:dyDescent="0.35">
      <c r="A34" s="40">
        <v>44291</v>
      </c>
      <c r="B34">
        <v>2400</v>
      </c>
      <c r="C34">
        <v>2417.1999999999998</v>
      </c>
      <c r="D34">
        <v>2346.5</v>
      </c>
      <c r="E34">
        <v>2373.1999999999998</v>
      </c>
      <c r="F34">
        <v>2373.1999999999998</v>
      </c>
      <c r="G34">
        <v>2545447</v>
      </c>
    </row>
    <row r="35" spans="1:7" x14ac:dyDescent="0.35">
      <c r="A35" s="40">
        <v>44287</v>
      </c>
      <c r="B35">
        <v>2446.8000000000002</v>
      </c>
      <c r="C35">
        <v>2446.8000000000002</v>
      </c>
      <c r="D35">
        <v>2392.0500000000002</v>
      </c>
      <c r="E35">
        <v>2399.1</v>
      </c>
      <c r="F35">
        <v>2399.1</v>
      </c>
      <c r="G35">
        <v>1532653</v>
      </c>
    </row>
    <row r="36" spans="1:7" x14ac:dyDescent="0.35">
      <c r="A36" s="40">
        <v>44286</v>
      </c>
      <c r="B36">
        <v>2386</v>
      </c>
      <c r="C36">
        <v>2438.6</v>
      </c>
      <c r="D36">
        <v>2381.65</v>
      </c>
      <c r="E36">
        <v>2431.5</v>
      </c>
      <c r="F36">
        <v>2431.5</v>
      </c>
      <c r="G36">
        <v>2709756</v>
      </c>
    </row>
    <row r="37" spans="1:7" x14ac:dyDescent="0.35">
      <c r="A37" s="40">
        <v>44285</v>
      </c>
      <c r="B37">
        <v>2325</v>
      </c>
      <c r="C37">
        <v>2406</v>
      </c>
      <c r="D37">
        <v>2325</v>
      </c>
      <c r="E37">
        <v>2398.75</v>
      </c>
      <c r="F37">
        <v>2398.75</v>
      </c>
      <c r="G37">
        <v>3327203</v>
      </c>
    </row>
    <row r="38" spans="1:7" x14ac:dyDescent="0.35">
      <c r="A38" s="40">
        <v>44281</v>
      </c>
      <c r="B38">
        <v>2255</v>
      </c>
      <c r="C38">
        <v>2325</v>
      </c>
      <c r="D38">
        <v>2248.8000000000002</v>
      </c>
      <c r="E38">
        <v>2317.9</v>
      </c>
      <c r="F38">
        <v>2317.9</v>
      </c>
      <c r="G38">
        <v>1929236</v>
      </c>
    </row>
    <row r="39" spans="1:7" x14ac:dyDescent="0.35">
      <c r="A39" s="40">
        <v>44280</v>
      </c>
      <c r="B39">
        <v>2318.6</v>
      </c>
      <c r="C39">
        <v>2322</v>
      </c>
      <c r="D39">
        <v>2231.0500000000002</v>
      </c>
      <c r="E39">
        <v>2237.0500000000002</v>
      </c>
      <c r="F39">
        <v>2237.0500000000002</v>
      </c>
      <c r="G39">
        <v>2495833</v>
      </c>
    </row>
    <row r="40" spans="1:7" x14ac:dyDescent="0.35">
      <c r="A40" s="40">
        <v>44279</v>
      </c>
      <c r="B40">
        <v>2337.3000000000002</v>
      </c>
      <c r="C40">
        <v>2350.9</v>
      </c>
      <c r="D40">
        <v>2315.5500000000002</v>
      </c>
      <c r="E40">
        <v>2318.6</v>
      </c>
      <c r="F40">
        <v>2318.6</v>
      </c>
      <c r="G40">
        <v>1762743</v>
      </c>
    </row>
    <row r="41" spans="1:7" x14ac:dyDescent="0.35">
      <c r="A41" s="40">
        <v>44278</v>
      </c>
      <c r="B41">
        <v>2363</v>
      </c>
      <c r="C41">
        <v>2372.9499999999998</v>
      </c>
      <c r="D41">
        <v>2333.4</v>
      </c>
      <c r="E41">
        <v>2337.3000000000002</v>
      </c>
      <c r="F41">
        <v>2337.3000000000002</v>
      </c>
      <c r="G41">
        <v>1970612</v>
      </c>
    </row>
    <row r="42" spans="1:7" x14ac:dyDescent="0.35">
      <c r="A42" s="40">
        <v>44277</v>
      </c>
      <c r="B42">
        <v>2310.1</v>
      </c>
      <c r="C42">
        <v>2356.5</v>
      </c>
      <c r="D42">
        <v>2302</v>
      </c>
      <c r="E42">
        <v>2353.1999999999998</v>
      </c>
      <c r="F42">
        <v>2353.1999999999998</v>
      </c>
      <c r="G42">
        <v>2471516</v>
      </c>
    </row>
    <row r="43" spans="1:7" x14ac:dyDescent="0.35">
      <c r="A43" s="40">
        <v>44274</v>
      </c>
      <c r="B43">
        <v>2204.1</v>
      </c>
      <c r="C43">
        <v>2325.25</v>
      </c>
      <c r="D43">
        <v>2191.5</v>
      </c>
      <c r="E43">
        <v>2312.0500000000002</v>
      </c>
      <c r="F43">
        <v>2312.0500000000002</v>
      </c>
      <c r="G43">
        <v>5382214</v>
      </c>
    </row>
    <row r="44" spans="1:7" x14ac:dyDescent="0.35">
      <c r="A44" s="40">
        <v>44273</v>
      </c>
      <c r="B44">
        <v>2238</v>
      </c>
      <c r="C44">
        <v>2249.9</v>
      </c>
      <c r="D44">
        <v>2205</v>
      </c>
      <c r="E44">
        <v>2215.1999999999998</v>
      </c>
      <c r="F44">
        <v>2215.1999999999998</v>
      </c>
      <c r="G44">
        <v>2597091</v>
      </c>
    </row>
    <row r="45" spans="1:7" x14ac:dyDescent="0.35">
      <c r="A45" s="40">
        <v>44272</v>
      </c>
      <c r="B45">
        <v>2254</v>
      </c>
      <c r="C45">
        <v>2262</v>
      </c>
      <c r="D45">
        <v>2219.25</v>
      </c>
      <c r="E45">
        <v>2226.3000000000002</v>
      </c>
      <c r="F45">
        <v>2226.3000000000002</v>
      </c>
      <c r="G45">
        <v>3703365</v>
      </c>
    </row>
    <row r="46" spans="1:7" x14ac:dyDescent="0.35">
      <c r="A46" s="40">
        <v>44271</v>
      </c>
      <c r="B46">
        <v>2221.35</v>
      </c>
      <c r="C46">
        <v>2247.5</v>
      </c>
      <c r="D46">
        <v>2214.3000000000002</v>
      </c>
      <c r="E46">
        <v>2244.0500000000002</v>
      </c>
      <c r="F46">
        <v>2244.0500000000002</v>
      </c>
      <c r="G46">
        <v>2633605</v>
      </c>
    </row>
    <row r="47" spans="1:7" x14ac:dyDescent="0.35">
      <c r="A47" s="40">
        <v>44270</v>
      </c>
      <c r="B47">
        <v>2206.1</v>
      </c>
      <c r="C47">
        <v>2217.4499999999998</v>
      </c>
      <c r="D47">
        <v>2183.3000000000002</v>
      </c>
      <c r="E47">
        <v>2210.85</v>
      </c>
      <c r="F47">
        <v>2210.85</v>
      </c>
      <c r="G47">
        <v>1632022</v>
      </c>
    </row>
    <row r="48" spans="1:7" x14ac:dyDescent="0.35">
      <c r="A48" s="40">
        <v>44267</v>
      </c>
      <c r="B48">
        <v>2236</v>
      </c>
      <c r="C48">
        <v>2239.9</v>
      </c>
      <c r="D48">
        <v>2200</v>
      </c>
      <c r="E48">
        <v>2204.75</v>
      </c>
      <c r="F48">
        <v>2204.75</v>
      </c>
      <c r="G48">
        <v>2038930</v>
      </c>
    </row>
    <row r="49" spans="1:7" x14ac:dyDescent="0.35">
      <c r="A49" s="40">
        <v>44265</v>
      </c>
      <c r="B49">
        <v>2210.5</v>
      </c>
      <c r="C49">
        <v>2236.9</v>
      </c>
      <c r="D49">
        <v>2193.1999999999998</v>
      </c>
      <c r="E49">
        <v>2227.85</v>
      </c>
      <c r="F49">
        <v>2227.85</v>
      </c>
      <c r="G49">
        <v>2696085</v>
      </c>
    </row>
    <row r="50" spans="1:7" x14ac:dyDescent="0.35">
      <c r="A50" s="40">
        <v>44264</v>
      </c>
      <c r="B50">
        <v>2176</v>
      </c>
      <c r="C50">
        <v>2205</v>
      </c>
      <c r="D50">
        <v>2162.0500000000002</v>
      </c>
      <c r="E50">
        <v>2198.5</v>
      </c>
      <c r="F50">
        <v>2198.5</v>
      </c>
      <c r="G50">
        <v>1711842</v>
      </c>
    </row>
    <row r="51" spans="1:7" x14ac:dyDescent="0.35">
      <c r="A51" s="40">
        <v>44263</v>
      </c>
      <c r="B51">
        <v>2210</v>
      </c>
      <c r="C51">
        <v>2216.1</v>
      </c>
      <c r="D51">
        <v>2169</v>
      </c>
      <c r="E51">
        <v>2174.5500000000002</v>
      </c>
      <c r="F51">
        <v>2174.5500000000002</v>
      </c>
      <c r="G51">
        <v>1440724</v>
      </c>
    </row>
    <row r="52" spans="1:7" x14ac:dyDescent="0.35">
      <c r="A52" s="40">
        <v>44260</v>
      </c>
      <c r="B52">
        <v>2184.6</v>
      </c>
      <c r="C52">
        <v>2209.9499999999998</v>
      </c>
      <c r="D52">
        <v>2175.25</v>
      </c>
      <c r="E52">
        <v>2201.1</v>
      </c>
      <c r="F52">
        <v>2201.1</v>
      </c>
      <c r="G52">
        <v>2129837</v>
      </c>
    </row>
    <row r="53" spans="1:7" x14ac:dyDescent="0.35">
      <c r="A53" s="40">
        <v>44259</v>
      </c>
      <c r="B53">
        <v>2185</v>
      </c>
      <c r="C53">
        <v>2203.5</v>
      </c>
      <c r="D53">
        <v>2174</v>
      </c>
      <c r="E53">
        <v>2196.9</v>
      </c>
      <c r="F53">
        <v>2196.9</v>
      </c>
      <c r="G53">
        <v>2290915</v>
      </c>
    </row>
    <row r="54" spans="1:7" x14ac:dyDescent="0.35">
      <c r="A54" s="40">
        <v>44258</v>
      </c>
      <c r="B54">
        <v>2205</v>
      </c>
      <c r="C54">
        <v>2205</v>
      </c>
      <c r="D54">
        <v>2173.5</v>
      </c>
      <c r="E54">
        <v>2193.5</v>
      </c>
      <c r="F54">
        <v>2193.5</v>
      </c>
      <c r="G54">
        <v>2031893</v>
      </c>
    </row>
    <row r="55" spans="1:7" x14ac:dyDescent="0.35">
      <c r="A55" s="40">
        <v>44257</v>
      </c>
      <c r="B55">
        <v>2162</v>
      </c>
      <c r="C55">
        <v>2183.9</v>
      </c>
      <c r="D55">
        <v>2140.5500000000002</v>
      </c>
      <c r="E55">
        <v>2177.9499999999998</v>
      </c>
      <c r="F55">
        <v>2177.9499999999998</v>
      </c>
      <c r="G55">
        <v>2095135</v>
      </c>
    </row>
    <row r="56" spans="1:7" x14ac:dyDescent="0.35">
      <c r="A56" s="40">
        <v>44256</v>
      </c>
      <c r="B56">
        <v>2135.1999999999998</v>
      </c>
      <c r="C56">
        <v>2154</v>
      </c>
      <c r="D56">
        <v>2128</v>
      </c>
      <c r="E56">
        <v>2143.4</v>
      </c>
      <c r="F56">
        <v>2143.4</v>
      </c>
      <c r="G56">
        <v>1229276</v>
      </c>
    </row>
    <row r="57" spans="1:7" x14ac:dyDescent="0.35">
      <c r="A57" s="40">
        <v>44253</v>
      </c>
      <c r="B57">
        <v>2158</v>
      </c>
      <c r="C57">
        <v>2182.4</v>
      </c>
      <c r="D57">
        <v>2120</v>
      </c>
      <c r="E57">
        <v>2132.0500000000002</v>
      </c>
      <c r="F57">
        <v>2132.0500000000002</v>
      </c>
      <c r="G57">
        <v>3413194</v>
      </c>
    </row>
    <row r="58" spans="1:7" x14ac:dyDescent="0.35">
      <c r="A58" s="40">
        <v>44252</v>
      </c>
      <c r="B58">
        <v>2177</v>
      </c>
      <c r="C58">
        <v>2185</v>
      </c>
      <c r="D58">
        <v>2160</v>
      </c>
      <c r="E58">
        <v>2163.3000000000002</v>
      </c>
      <c r="F58">
        <v>2163.3000000000002</v>
      </c>
      <c r="G58">
        <v>2099460</v>
      </c>
    </row>
    <row r="59" spans="1:7" x14ac:dyDescent="0.35">
      <c r="A59" s="40">
        <v>44251</v>
      </c>
      <c r="B59">
        <v>2188.5</v>
      </c>
      <c r="C59">
        <v>2188.5</v>
      </c>
      <c r="D59">
        <v>2155.5500000000002</v>
      </c>
      <c r="E59">
        <v>2178.85</v>
      </c>
      <c r="F59">
        <v>2178.85</v>
      </c>
      <c r="G59">
        <v>924143</v>
      </c>
    </row>
    <row r="60" spans="1:7" x14ac:dyDescent="0.35">
      <c r="A60" s="40">
        <v>44250</v>
      </c>
      <c r="B60">
        <v>2185</v>
      </c>
      <c r="C60">
        <v>2192.35</v>
      </c>
      <c r="D60">
        <v>2170.1999999999998</v>
      </c>
      <c r="E60">
        <v>2179.25</v>
      </c>
      <c r="F60">
        <v>2179.25</v>
      </c>
      <c r="G60">
        <v>2062144</v>
      </c>
    </row>
    <row r="61" spans="1:7" x14ac:dyDescent="0.35">
      <c r="A61" s="40">
        <v>44249</v>
      </c>
      <c r="B61">
        <v>2205</v>
      </c>
      <c r="C61">
        <v>2205</v>
      </c>
      <c r="D61">
        <v>2161.6</v>
      </c>
      <c r="E61">
        <v>2167.6</v>
      </c>
      <c r="F61">
        <v>2167.6</v>
      </c>
      <c r="G61">
        <v>2678023</v>
      </c>
    </row>
    <row r="62" spans="1:7" x14ac:dyDescent="0.35">
      <c r="A62" s="40">
        <v>44246</v>
      </c>
      <c r="B62">
        <v>2152.9</v>
      </c>
      <c r="C62">
        <v>2194</v>
      </c>
      <c r="D62">
        <v>2150</v>
      </c>
      <c r="E62">
        <v>2181.1</v>
      </c>
      <c r="F62">
        <v>2181.1</v>
      </c>
      <c r="G62">
        <v>3364030</v>
      </c>
    </row>
    <row r="63" spans="1:7" x14ac:dyDescent="0.35">
      <c r="A63" s="40">
        <v>44245</v>
      </c>
      <c r="B63">
        <v>2164</v>
      </c>
      <c r="C63">
        <v>2168.5500000000002</v>
      </c>
      <c r="D63">
        <v>2143.1999999999998</v>
      </c>
      <c r="E63">
        <v>2146.85</v>
      </c>
      <c r="F63">
        <v>2146.85</v>
      </c>
      <c r="G63">
        <v>3205806</v>
      </c>
    </row>
    <row r="64" spans="1:7" x14ac:dyDescent="0.35">
      <c r="A64" s="40">
        <v>44244</v>
      </c>
      <c r="B64">
        <v>2196</v>
      </c>
      <c r="C64">
        <v>2201.5500000000002</v>
      </c>
      <c r="D64">
        <v>2160</v>
      </c>
      <c r="E64">
        <v>2163.9</v>
      </c>
      <c r="F64">
        <v>2163.9</v>
      </c>
      <c r="G64">
        <v>2447956</v>
      </c>
    </row>
    <row r="65" spans="1:7" x14ac:dyDescent="0.35">
      <c r="A65" s="40">
        <v>44243</v>
      </c>
      <c r="B65">
        <v>2227</v>
      </c>
      <c r="C65">
        <v>2229.0500000000002</v>
      </c>
      <c r="D65">
        <v>2190.0500000000002</v>
      </c>
      <c r="E65">
        <v>2196.1</v>
      </c>
      <c r="F65">
        <v>2196.1</v>
      </c>
      <c r="G65">
        <v>2396356</v>
      </c>
    </row>
    <row r="66" spans="1:7" x14ac:dyDescent="0.35">
      <c r="A66" s="40">
        <v>44242</v>
      </c>
      <c r="B66">
        <v>2251</v>
      </c>
      <c r="C66">
        <v>2261.75</v>
      </c>
      <c r="D66">
        <v>2213</v>
      </c>
      <c r="E66">
        <v>2215.1999999999998</v>
      </c>
      <c r="F66">
        <v>2215.1999999999998</v>
      </c>
      <c r="G66">
        <v>2449407</v>
      </c>
    </row>
    <row r="67" spans="1:7" x14ac:dyDescent="0.35">
      <c r="A67" s="40">
        <v>44239</v>
      </c>
      <c r="B67">
        <v>2268</v>
      </c>
      <c r="C67">
        <v>2272.25</v>
      </c>
      <c r="D67">
        <v>2232</v>
      </c>
      <c r="E67">
        <v>2241.5500000000002</v>
      </c>
      <c r="F67">
        <v>2241.5500000000002</v>
      </c>
      <c r="G67">
        <v>1222094</v>
      </c>
    </row>
    <row r="68" spans="1:7" x14ac:dyDescent="0.35">
      <c r="A68" s="40">
        <v>44238</v>
      </c>
      <c r="B68">
        <v>2242</v>
      </c>
      <c r="C68">
        <v>2268</v>
      </c>
      <c r="D68">
        <v>2234.0500000000002</v>
      </c>
      <c r="E68">
        <v>2263</v>
      </c>
      <c r="F68">
        <v>2263</v>
      </c>
      <c r="G68">
        <v>1824480</v>
      </c>
    </row>
    <row r="69" spans="1:7" x14ac:dyDescent="0.35">
      <c r="A69" s="40">
        <v>44237</v>
      </c>
      <c r="B69">
        <v>2220</v>
      </c>
      <c r="C69">
        <v>2241</v>
      </c>
      <c r="D69">
        <v>2212.75</v>
      </c>
      <c r="E69">
        <v>2235.5</v>
      </c>
      <c r="F69">
        <v>2235.5</v>
      </c>
      <c r="G69">
        <v>2055520</v>
      </c>
    </row>
    <row r="70" spans="1:7" x14ac:dyDescent="0.35">
      <c r="A70" s="40">
        <v>44236</v>
      </c>
      <c r="B70">
        <v>2247</v>
      </c>
      <c r="C70">
        <v>2254.6999999999998</v>
      </c>
      <c r="D70">
        <v>2210.5</v>
      </c>
      <c r="E70">
        <v>2216.25</v>
      </c>
      <c r="F70">
        <v>2216.25</v>
      </c>
      <c r="G70">
        <v>3131481</v>
      </c>
    </row>
    <row r="71" spans="1:7" x14ac:dyDescent="0.35">
      <c r="A71" s="40">
        <v>44235</v>
      </c>
      <c r="B71">
        <v>2288</v>
      </c>
      <c r="C71">
        <v>2288.6999999999998</v>
      </c>
      <c r="D71">
        <v>2230.3000000000002</v>
      </c>
      <c r="E71">
        <v>2236.65</v>
      </c>
      <c r="F71">
        <v>2236.65</v>
      </c>
      <c r="G71">
        <v>2780672</v>
      </c>
    </row>
    <row r="72" spans="1:7" x14ac:dyDescent="0.35">
      <c r="A72" s="40">
        <v>44232</v>
      </c>
      <c r="B72">
        <v>2245.6</v>
      </c>
      <c r="C72">
        <v>2285</v>
      </c>
      <c r="D72">
        <v>2241</v>
      </c>
      <c r="E72">
        <v>2269.5500000000002</v>
      </c>
      <c r="F72">
        <v>2269.5500000000002</v>
      </c>
      <c r="G72">
        <v>4036942</v>
      </c>
    </row>
    <row r="73" spans="1:7" x14ac:dyDescent="0.35">
      <c r="A73" s="40">
        <v>44231</v>
      </c>
      <c r="B73">
        <v>2239</v>
      </c>
      <c r="C73">
        <v>2259</v>
      </c>
      <c r="D73">
        <v>2226.1999999999998</v>
      </c>
      <c r="E73">
        <v>2245.6</v>
      </c>
      <c r="F73">
        <v>2245.6</v>
      </c>
      <c r="G73">
        <v>2908003</v>
      </c>
    </row>
    <row r="74" spans="1:7" x14ac:dyDescent="0.35">
      <c r="A74" s="40">
        <v>44230</v>
      </c>
      <c r="B74">
        <v>2231.5</v>
      </c>
      <c r="C74">
        <v>2257</v>
      </c>
      <c r="D74">
        <v>2217.6</v>
      </c>
      <c r="E74">
        <v>2232.85</v>
      </c>
      <c r="F74">
        <v>2232.85</v>
      </c>
      <c r="G74">
        <v>2353429</v>
      </c>
    </row>
    <row r="75" spans="1:7" x14ac:dyDescent="0.35">
      <c r="A75" s="40">
        <v>44229</v>
      </c>
      <c r="B75">
        <v>2271.0500000000002</v>
      </c>
      <c r="C75">
        <v>2275</v>
      </c>
      <c r="D75">
        <v>2205</v>
      </c>
      <c r="E75">
        <v>2230.4499999999998</v>
      </c>
      <c r="F75">
        <v>2230.4499999999998</v>
      </c>
      <c r="G75">
        <v>4215607</v>
      </c>
    </row>
    <row r="76" spans="1:7" x14ac:dyDescent="0.35">
      <c r="A76" s="40">
        <v>44228</v>
      </c>
      <c r="B76">
        <v>2276.65</v>
      </c>
      <c r="C76">
        <v>2285</v>
      </c>
      <c r="D76">
        <v>2226.1999999999998</v>
      </c>
      <c r="E76">
        <v>2248.6</v>
      </c>
      <c r="F76">
        <v>2248.6</v>
      </c>
      <c r="G76">
        <v>2717591</v>
      </c>
    </row>
    <row r="77" spans="1:7" x14ac:dyDescent="0.35">
      <c r="A77" s="40">
        <v>44225</v>
      </c>
      <c r="B77">
        <v>2315.1</v>
      </c>
      <c r="C77">
        <v>2322.3000000000002</v>
      </c>
      <c r="D77">
        <v>2251</v>
      </c>
      <c r="E77">
        <v>2263.9</v>
      </c>
      <c r="F77">
        <v>2263.9</v>
      </c>
      <c r="G77">
        <v>4472694</v>
      </c>
    </row>
    <row r="78" spans="1:7" x14ac:dyDescent="0.35">
      <c r="A78" s="40">
        <v>44224</v>
      </c>
      <c r="B78">
        <v>2367.9</v>
      </c>
      <c r="C78">
        <v>2411.5500000000002</v>
      </c>
      <c r="D78">
        <v>2290</v>
      </c>
      <c r="E78">
        <v>2300.4</v>
      </c>
      <c r="F78">
        <v>2300.4</v>
      </c>
      <c r="G78">
        <v>3867335</v>
      </c>
    </row>
    <row r="79" spans="1:7" x14ac:dyDescent="0.35">
      <c r="A79" s="40">
        <v>44223</v>
      </c>
      <c r="B79">
        <v>2425</v>
      </c>
      <c r="C79">
        <v>2425</v>
      </c>
      <c r="D79">
        <v>2335</v>
      </c>
      <c r="E79">
        <v>2391.3000000000002</v>
      </c>
      <c r="F79">
        <v>2391.3000000000002</v>
      </c>
      <c r="G79">
        <v>2460297</v>
      </c>
    </row>
    <row r="80" spans="1:7" x14ac:dyDescent="0.35">
      <c r="A80" s="40">
        <v>44221</v>
      </c>
      <c r="B80">
        <v>2420</v>
      </c>
      <c r="C80">
        <v>2432.35</v>
      </c>
      <c r="D80">
        <v>2385</v>
      </c>
      <c r="E80">
        <v>2399.6</v>
      </c>
      <c r="F80">
        <v>2399.6</v>
      </c>
      <c r="G80">
        <v>2124424</v>
      </c>
    </row>
    <row r="81" spans="1:7" x14ac:dyDescent="0.35">
      <c r="A81" s="40">
        <v>44218</v>
      </c>
      <c r="B81">
        <v>2359</v>
      </c>
      <c r="C81">
        <v>2422</v>
      </c>
      <c r="D81">
        <v>2357</v>
      </c>
      <c r="E81">
        <v>2409.35</v>
      </c>
      <c r="F81">
        <v>2409.35</v>
      </c>
      <c r="G81">
        <v>2548089</v>
      </c>
    </row>
    <row r="82" spans="1:7" x14ac:dyDescent="0.35">
      <c r="A82" s="40">
        <v>44217</v>
      </c>
      <c r="B82">
        <v>2376</v>
      </c>
      <c r="C82">
        <v>2399.9</v>
      </c>
      <c r="D82">
        <v>2350</v>
      </c>
      <c r="E82">
        <v>2367.65</v>
      </c>
      <c r="F82">
        <v>2367.65</v>
      </c>
      <c r="G82">
        <v>1521133</v>
      </c>
    </row>
    <row r="83" spans="1:7" x14ac:dyDescent="0.35">
      <c r="A83" s="40">
        <v>44216</v>
      </c>
      <c r="B83">
        <v>2357</v>
      </c>
      <c r="C83">
        <v>2373.9499999999998</v>
      </c>
      <c r="D83">
        <v>2346.3000000000002</v>
      </c>
      <c r="E83">
        <v>2355.9499999999998</v>
      </c>
      <c r="F83">
        <v>2355.9499999999998</v>
      </c>
      <c r="G83">
        <v>1380562</v>
      </c>
    </row>
    <row r="84" spans="1:7" x14ac:dyDescent="0.35">
      <c r="A84" s="40">
        <v>44215</v>
      </c>
      <c r="B84">
        <v>2342</v>
      </c>
      <c r="C84">
        <v>2382.1</v>
      </c>
      <c r="D84">
        <v>2323.25</v>
      </c>
      <c r="E84">
        <v>2363.15</v>
      </c>
      <c r="F84">
        <v>2363.15</v>
      </c>
      <c r="G84">
        <v>1495269</v>
      </c>
    </row>
    <row r="85" spans="1:7" x14ac:dyDescent="0.35">
      <c r="A85" s="40">
        <v>44214</v>
      </c>
      <c r="B85">
        <v>2374.5</v>
      </c>
      <c r="C85">
        <v>2374.5</v>
      </c>
      <c r="D85">
        <v>2320.65</v>
      </c>
      <c r="E85">
        <v>2332.6</v>
      </c>
      <c r="F85">
        <v>2332.6</v>
      </c>
      <c r="G85">
        <v>1733797</v>
      </c>
    </row>
    <row r="86" spans="1:7" x14ac:dyDescent="0.35">
      <c r="A86" s="40">
        <v>44211</v>
      </c>
      <c r="B86">
        <v>2392.5</v>
      </c>
      <c r="C86">
        <v>2407</v>
      </c>
      <c r="D86">
        <v>2342.8000000000002</v>
      </c>
      <c r="E86">
        <v>2351.15</v>
      </c>
      <c r="F86">
        <v>2351.15</v>
      </c>
      <c r="G86">
        <v>2042957</v>
      </c>
    </row>
    <row r="87" spans="1:7" x14ac:dyDescent="0.35">
      <c r="A87" s="40">
        <v>44210</v>
      </c>
      <c r="B87">
        <v>2366</v>
      </c>
      <c r="C87">
        <v>2406</v>
      </c>
      <c r="D87">
        <v>2351.15</v>
      </c>
      <c r="E87">
        <v>2398.5500000000002</v>
      </c>
      <c r="F87">
        <v>2398.5500000000002</v>
      </c>
      <c r="G87">
        <v>2120413</v>
      </c>
    </row>
    <row r="88" spans="1:7" x14ac:dyDescent="0.35">
      <c r="A88" s="40">
        <v>44209</v>
      </c>
      <c r="B88">
        <v>2381.9</v>
      </c>
      <c r="C88">
        <v>2398</v>
      </c>
      <c r="D88">
        <v>2364.6</v>
      </c>
      <c r="E88">
        <v>2372.35</v>
      </c>
      <c r="F88">
        <v>2372.35</v>
      </c>
      <c r="G88">
        <v>1702740</v>
      </c>
    </row>
    <row r="89" spans="1:7" x14ac:dyDescent="0.35">
      <c r="A89" s="40">
        <v>44208</v>
      </c>
      <c r="B89">
        <v>2429.8000000000002</v>
      </c>
      <c r="C89">
        <v>2433.1</v>
      </c>
      <c r="D89">
        <v>2372</v>
      </c>
      <c r="E89">
        <v>2375.9</v>
      </c>
      <c r="F89">
        <v>2375.9</v>
      </c>
      <c r="G89">
        <v>2036708</v>
      </c>
    </row>
    <row r="90" spans="1:7" x14ac:dyDescent="0.35">
      <c r="A90" s="40">
        <v>44207</v>
      </c>
      <c r="B90">
        <v>2425</v>
      </c>
      <c r="C90">
        <v>2441.9499999999998</v>
      </c>
      <c r="D90">
        <v>2402.1</v>
      </c>
      <c r="E90">
        <v>2429.1</v>
      </c>
      <c r="F90">
        <v>2429.1</v>
      </c>
      <c r="G90">
        <v>2787672</v>
      </c>
    </row>
    <row r="91" spans="1:7" x14ac:dyDescent="0.35">
      <c r="A91" s="40">
        <v>44204</v>
      </c>
      <c r="B91">
        <v>2390</v>
      </c>
      <c r="C91">
        <v>2400</v>
      </c>
      <c r="D91">
        <v>2360.8000000000002</v>
      </c>
      <c r="E91">
        <v>2391.1999999999998</v>
      </c>
      <c r="F91">
        <v>2391.1999999999998</v>
      </c>
      <c r="G91">
        <v>2797948</v>
      </c>
    </row>
    <row r="92" spans="1:7" x14ac:dyDescent="0.35">
      <c r="A92" s="40">
        <v>44203</v>
      </c>
      <c r="B92">
        <v>2432</v>
      </c>
      <c r="C92">
        <v>2432.6999999999998</v>
      </c>
      <c r="D92">
        <v>2365</v>
      </c>
      <c r="E92">
        <v>2368.85</v>
      </c>
      <c r="F92">
        <v>2368.85</v>
      </c>
      <c r="G92">
        <v>2403881</v>
      </c>
    </row>
    <row r="93" spans="1:7" x14ac:dyDescent="0.35">
      <c r="A93" s="40">
        <v>44202</v>
      </c>
      <c r="B93">
        <v>2445.8000000000002</v>
      </c>
      <c r="C93">
        <v>2450</v>
      </c>
      <c r="D93">
        <v>2401.6</v>
      </c>
      <c r="E93">
        <v>2417.3000000000002</v>
      </c>
      <c r="F93">
        <v>2417.3000000000002</v>
      </c>
      <c r="G93">
        <v>1641627</v>
      </c>
    </row>
    <row r="94" spans="1:7" x14ac:dyDescent="0.35">
      <c r="A94" s="40">
        <v>44201</v>
      </c>
      <c r="B94">
        <v>2405</v>
      </c>
      <c r="C94">
        <v>2456.9499999999998</v>
      </c>
      <c r="D94">
        <v>2405</v>
      </c>
      <c r="E94">
        <v>2450.5500000000002</v>
      </c>
      <c r="F94">
        <v>2450.5500000000002</v>
      </c>
      <c r="G94">
        <v>2356303</v>
      </c>
    </row>
    <row r="95" spans="1:7" x14ac:dyDescent="0.35">
      <c r="A95" s="40">
        <v>44200</v>
      </c>
      <c r="B95">
        <v>2405</v>
      </c>
      <c r="C95">
        <v>2430</v>
      </c>
      <c r="D95">
        <v>2400.6999999999998</v>
      </c>
      <c r="E95">
        <v>2426.5</v>
      </c>
      <c r="F95">
        <v>2426.5</v>
      </c>
      <c r="G95">
        <v>1614486</v>
      </c>
    </row>
    <row r="96" spans="1:7" x14ac:dyDescent="0.35">
      <c r="A96" s="40">
        <v>44197</v>
      </c>
      <c r="B96">
        <v>2395.4</v>
      </c>
      <c r="C96">
        <v>2404</v>
      </c>
      <c r="D96">
        <v>2382</v>
      </c>
      <c r="E96">
        <v>2387.5500000000002</v>
      </c>
      <c r="F96">
        <v>2387.5500000000002</v>
      </c>
      <c r="G96">
        <v>830096</v>
      </c>
    </row>
    <row r="97" spans="1:7" x14ac:dyDescent="0.35">
      <c r="A97" s="40">
        <v>44196</v>
      </c>
      <c r="B97">
        <v>2396</v>
      </c>
      <c r="C97">
        <v>2417</v>
      </c>
      <c r="D97">
        <v>2387</v>
      </c>
      <c r="E97">
        <v>2395.4</v>
      </c>
      <c r="F97">
        <v>2395.4</v>
      </c>
      <c r="G97">
        <v>1709836</v>
      </c>
    </row>
    <row r="98" spans="1:7" x14ac:dyDescent="0.35">
      <c r="A98" s="40">
        <v>44195</v>
      </c>
      <c r="B98">
        <v>2390</v>
      </c>
      <c r="C98">
        <v>2414.65</v>
      </c>
      <c r="D98">
        <v>2376</v>
      </c>
      <c r="E98">
        <v>2406.6</v>
      </c>
      <c r="F98">
        <v>2406.6</v>
      </c>
      <c r="G98">
        <v>1924886</v>
      </c>
    </row>
    <row r="99" spans="1:7" x14ac:dyDescent="0.35">
      <c r="A99" s="40">
        <v>44194</v>
      </c>
      <c r="B99">
        <v>2395</v>
      </c>
      <c r="C99">
        <v>2403</v>
      </c>
      <c r="D99">
        <v>2354.1999999999998</v>
      </c>
      <c r="E99">
        <v>2384.3000000000002</v>
      </c>
      <c r="F99">
        <v>2384.3000000000002</v>
      </c>
      <c r="G99">
        <v>1749013</v>
      </c>
    </row>
    <row r="100" spans="1:7" x14ac:dyDescent="0.35">
      <c r="A100" s="40">
        <v>44193</v>
      </c>
      <c r="B100">
        <v>2405</v>
      </c>
      <c r="C100">
        <v>2417.4</v>
      </c>
      <c r="D100">
        <v>2376.0500000000002</v>
      </c>
      <c r="E100">
        <v>2388.9</v>
      </c>
      <c r="F100">
        <v>2388.9</v>
      </c>
      <c r="G100">
        <v>1532477</v>
      </c>
    </row>
    <row r="101" spans="1:7" x14ac:dyDescent="0.35">
      <c r="A101" s="40">
        <v>44189</v>
      </c>
      <c r="B101">
        <v>2382.5</v>
      </c>
      <c r="C101">
        <v>2410</v>
      </c>
      <c r="D101">
        <v>2360.0500000000002</v>
      </c>
      <c r="E101">
        <v>2402.25</v>
      </c>
      <c r="F101">
        <v>2402.25</v>
      </c>
      <c r="G101">
        <v>2489444</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443A2-BA30-40E4-8741-BCF38C72C212}">
  <sheetPr codeName="Sheet14"/>
  <dimension ref="A1"/>
  <sheetViews>
    <sheetView workbookViewId="0"/>
  </sheetViews>
  <sheetFormatPr defaultColWidth="8.83203125" defaultRowHeight="14.5" x14ac:dyDescent="0.35"/>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792FE-5AD1-4121-A960-F5D09BADBCC1}">
  <sheetPr codeName="Sheet15"/>
  <dimension ref="A1"/>
  <sheetViews>
    <sheetView workbookViewId="0"/>
  </sheetViews>
  <sheetFormatPr defaultColWidth="8.8320312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D03AAFD-23BB-469E-9525-0F1844464DA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2 stock</vt:lpstr>
      <vt:lpstr>5 stock</vt:lpstr>
      <vt:lpstr>Cover Page</vt:lpstr>
      <vt:lpstr>Instructions</vt:lpstr>
      <vt:lpstr>FlowChart</vt:lpstr>
      <vt:lpstr>2 STOCKS PORTFOLIO </vt:lpstr>
      <vt:lpstr>2 stock (verf.)</vt:lpstr>
      <vt:lpstr>5 STOCKS</vt:lpstr>
      <vt:lpstr>Table_2__2</vt:lpstr>
      <vt:lpstr>Table_2__3</vt:lpstr>
      <vt:lpstr>Table_2</vt:lpstr>
      <vt:lpstr>Table 2 (5)</vt:lpstr>
      <vt:lpstr>Table 2 (4)</vt:lpstr>
      <vt:lpstr>Table 2 (3)</vt:lpstr>
      <vt:lpstr>Table 2 (2)</vt:lpstr>
      <vt:lpstr>Sheet2</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anushka</dc:creator>
  <cp:lastModifiedBy>Anushka Chaturvedi</cp:lastModifiedBy>
  <dcterms:created xsi:type="dcterms:W3CDTF">2021-05-07T12:43:26Z</dcterms:created>
  <dcterms:modified xsi:type="dcterms:W3CDTF">2021-07-03T07:22:06Z</dcterms:modified>
</cp:coreProperties>
</file>